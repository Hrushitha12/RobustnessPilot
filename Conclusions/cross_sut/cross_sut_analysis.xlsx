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aStore Binary Matrix" sheetId="1" state="visible" r:id="rId3"/>
    <sheet name="OTel Binary Matrix" sheetId="2" state="visible" r:id="rId4"/>
    <sheet name="Jaccard Comparison" sheetId="3" state="visible" r:id="rId5"/>
    <sheet name="Cross-SUT Comparison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<sst xmlns="http://schemas.openxmlformats.org/spreadsheetml/2006/main" count="420" uniqueCount="200">
  <si>
    <t xml:space="preserve">TeaStore SUT — LLM Robustness: Binary FM Matrix (14 valid runs × 9 FMs)</t>
  </si>
  <si>
    <t xml:space="preserve">Model C (qwen3:14b)</t>
  </si>
  <si>
    <t xml:space="preserve">Model D (qwen2.5-coder:32b)</t>
  </si>
  <si>
    <t xml:space="preserve">Model E (llama3.1:70b)</t>
  </si>
  <si>
    <t xml:space="preserve">FM</t>
  </si>
  <si>
    <t xml:space="preserve">#</t>
  </si>
  <si>
    <t xml:space="preserve">Failure Mode Description</t>
  </si>
  <si>
    <t xml:space="preserve">C-FewShot</t>
  </si>
  <si>
    <t xml:space="preserve">C-Self</t>
  </si>
  <si>
    <t xml:space="preserve">C-Struct</t>
  </si>
  <si>
    <t xml:space="preserve">C-CoT</t>
  </si>
  <si>
    <t xml:space="preserve">D-FewShot</t>
  </si>
  <si>
    <t xml:space="preserve">D-Struct</t>
  </si>
  <si>
    <t xml:space="preserve">D-CoT</t>
  </si>
  <si>
    <t xml:space="preserve">D-ZeroShot</t>
  </si>
  <si>
    <t xml:space="preserve">D-Self</t>
  </si>
  <si>
    <t xml:space="preserve">E-FewShot</t>
  </si>
  <si>
    <t xml:space="preserve">E-Self</t>
  </si>
  <si>
    <t xml:space="preserve">E-Struct</t>
  </si>
  <si>
    <t xml:space="preserve">E-ZeroShot</t>
  </si>
  <si>
    <t xml:space="preserve">E-CoT</t>
  </si>
  <si>
    <t xml:space="preserve">Found in N</t>
  </si>
  <si>
    <t xml:space="preserve">% Coverage</t>
  </si>
  <si>
    <t xml:space="preserve">FM1</t>
  </si>
  <si>
    <t xml:space="preserve">product — non-numeric string id (id=abc)</t>
  </si>
  <si>
    <t xml:space="preserve">FM2</t>
  </si>
  <si>
    <t xml:space="preserve">product — empty string id (id=)</t>
  </si>
  <si>
    <t xml:space="preserve">FM3</t>
  </si>
  <si>
    <t xml:space="preserve">cartAction add — productid key absent</t>
  </si>
  <si>
    <t xml:space="preserve">FM4</t>
  </si>
  <si>
    <t xml:space="preserve">cartAction add — productid value empty</t>
  </si>
  <si>
    <t xml:space="preserve">FM5</t>
  </si>
  <si>
    <t xml:space="preserve">cartAction add — invalid string productid</t>
  </si>
  <si>
    <t xml:space="preserve">FM6</t>
  </si>
  <si>
    <t xml:space="preserve">cartAction remove — productid key absent</t>
  </si>
  <si>
    <t xml:space="preserve">FM7</t>
  </si>
  <si>
    <t xml:space="preserve">cartAction remove — productid value empty</t>
  </si>
  <si>
    <t xml:space="preserve">FM8</t>
  </si>
  <si>
    <t xml:space="preserve">cartAction remove — invalid/non-existent productid</t>
  </si>
  <si>
    <t xml:space="preserve">FM9</t>
  </si>
  <si>
    <t xml:space="preserve">cartAction remove — valid id, unauthenticated</t>
  </si>
  <si>
    <t xml:space="preserve">Total FMs Found per Run</t>
  </si>
  <si>
    <t xml:space="preserve">NOTES:
• C-ZeroShot excluded: language instability (model switched to Chinese mid-generation).
• D-ZeroShot and D-Self: 0 FMs — model generated only safe/valid inputs; no robustness violations triggered.
• C-Structured, D-Structured, E-Structured all found exactly {FM1, FM8} → Jaccard = 1.00 (Structured collapsed diversity).
• FM6 (cartAction remove — productid key absent) found by D-FewShot ONLY — rarest failure mode across all 14 runs.
• D-CoT and E-CoT each generated XSS/whitespace inputs (Excluded class) — emergent security-aware generation without instruction.</t>
  </si>
  <si>
    <t xml:space="preserve">OTel Astronomy Shop SUT — LLM Robustness: Binary FM Matrix (12 valid runs × 14 FMs)</t>
  </si>
  <si>
    <t xml:space="preserve">C-Structured</t>
  </si>
  <si>
    <t xml:space="preserve">D-Structured</t>
  </si>
  <si>
    <t xml:space="preserve">GET /api/products/{id} — non-existent or invalid ID → 500</t>
  </si>
  <si>
    <t xml:space="preserve">GET /api/products/{id} — extremely long ID (500+ chars) → 500</t>
  </si>
  <si>
    <t xml:space="preserve">POST /api/cart — item field is null → 500</t>
  </si>
  <si>
    <t xml:space="preserve">POST /api/cart — item/fields missing from body → 500</t>
  </si>
  <si>
    <t xml:space="preserve">POST /api/checkout — empty userId → 500</t>
  </si>
  <si>
    <t xml:space="preserve">POST /api/checkout — unknown currency code → 500</t>
  </si>
  <si>
    <t xml:space="preserve">POST /api/checkout — empty/missing credit card number → 500</t>
  </si>
  <si>
    <t xml:space="preserve">POST /api/checkout — expired credit card year → 500</t>
  </si>
  <si>
    <t xml:space="preserve">POST /api/checkout — empty street address field → 500</t>
  </si>
  <si>
    <t xml:space="preserve">FM10</t>
  </si>
  <si>
    <t xml:space="preserve">POST /api/checkout — invalid email format → 500</t>
  </si>
  <si>
    <t xml:space="preserve">FM11</t>
  </si>
  <si>
    <t xml:space="preserve">POST /api/checkout — wrong credit card number format → 500</t>
  </si>
  <si>
    <t xml:space="preserve">FM12</t>
  </si>
  <si>
    <t xml:space="preserve">POST /api/checkout — empty userCurrency string → 500</t>
  </si>
  <si>
    <t xml:space="preserve">FM13</t>
  </si>
  <si>
    <t xml:space="preserve">POST /api/checkout — out-of-range card month (negative) → 500</t>
  </si>
  <si>
    <t xml:space="preserve">FM14</t>
  </si>
  <si>
    <t xml:space="preserve">POST /api/checkout — checkout with empty/invalid cart → 500</t>
  </si>
  <si>
    <t xml:space="preserve">NOTES:
• Excluded: C-ZeroShot (COMPILE_FAIL), C-Self (MALFORMED_OUTPUT), E-Structured (CRASH × 2).
• D-Self: 0 FMs — model generated tests without assertNoServerError(); all calls trivially passed.
• C-Structured and D-Structured found identical FM sets → Jaccard = 1.00 (Structured collapsed diversity again).
• Currency (POST /api/currency) and Shipping (POST /api/shipping): ALWAYS 504 in minimal Docker Compose.
  All currency/shipping 504s = SYSTEM_UNAVAILABLE. Not input-triggered failures. Excluded from FM matrix.
• Emergent behavior: 5 tests across 4 runs (C-CoT, D-CoT, E-FewShot, E-CoT) generated illegal URI chars without instruction.</t>
  </si>
  <si>
    <t xml:space="preserve">Jaccard Similarity Analysis — TeaStore vs OTel Astronomy Shop</t>
  </si>
  <si>
    <t xml:space="preserve">TeaStore — Full Pairwise Jaccard Matrix (14 runs)</t>
  </si>
  <si>
    <t xml:space="preserve">Run</t>
  </si>
  <si>
    <t xml:space="preserve">OTel Astronomy Shop — Full Pairwise Jaccard Matrix (12 runs)</t>
  </si>
  <si>
    <t xml:space="preserve">────────────────────────────────────────────────────────────────────────────────</t>
  </si>
  <si>
    <t xml:space="preserve">Same Prompt — Different Models: TeaStore</t>
  </si>
  <si>
    <t xml:space="preserve">Prompt</t>
  </si>
  <si>
    <t xml:space="preserve">Run A</t>
  </si>
  <si>
    <t xml:space="preserve">Run B</t>
  </si>
  <si>
    <t xml:space="preserve">Jaccard</t>
  </si>
  <si>
    <t xml:space="preserve">Shared</t>
  </si>
  <si>
    <t xml:space="preserve">A only</t>
  </si>
  <si>
    <t xml:space="preserve">B only</t>
  </si>
  <si>
    <t xml:space="preserve">|Union|</t>
  </si>
  <si>
    <t xml:space="preserve">Interpretation</t>
  </si>
  <si>
    <t xml:space="preserve">Structured</t>
  </si>
  <si>
    <t xml:space="preserve">FM1, FM8</t>
  </si>
  <si>
    <t xml:space="preserve">∅</t>
  </si>
  <si>
    <t xml:space="preserve">Identical — collapsed diversity</t>
  </si>
  <si>
    <t xml:space="preserve">Structured Average</t>
  </si>
  <si>
    <t xml:space="preserve">FewShot</t>
  </si>
  <si>
    <t xml:space="preserve">FM4, FM5, FM7, FM8</t>
  </si>
  <si>
    <t xml:space="preserve">FM3, FM6</t>
  </si>
  <si>
    <t xml:space="preserve">High diversity</t>
  </si>
  <si>
    <t xml:space="preserve">FM4, FM8</t>
  </si>
  <si>
    <t xml:space="preserve">FM1, FM5, FM7</t>
  </si>
  <si>
    <t xml:space="preserve">Moderate diversity</t>
  </si>
  <si>
    <t xml:space="preserve">FM1, FM3, FM6</t>
  </si>
  <si>
    <t xml:space="preserve">FM2, FM4, FM8</t>
  </si>
  <si>
    <t xml:space="preserve">FewShot Average</t>
  </si>
  <si>
    <t xml:space="preserve">CoT</t>
  </si>
  <si>
    <t xml:space="preserve">FM4, FM7, FM9</t>
  </si>
  <si>
    <t xml:space="preserve">FM2, FM3</t>
  </si>
  <si>
    <t xml:space="preserve">FM1, FM7</t>
  </si>
  <si>
    <t xml:space="preserve">FM4, FM9</t>
  </si>
  <si>
    <t xml:space="preserve">FM3, FM5</t>
  </si>
  <si>
    <t xml:space="preserve">FM1, FM3</t>
  </si>
  <si>
    <t xml:space="preserve">FM5, FM7</t>
  </si>
  <si>
    <t xml:space="preserve">CoT Average</t>
  </si>
  <si>
    <t xml:space="preserve">ZeroShot</t>
  </si>
  <si>
    <t xml:space="preserve">Self</t>
  </si>
  <si>
    <t xml:space="preserve">FM1, FM5, FM8, FM9</t>
  </si>
  <si>
    <t xml:space="preserve">FM1, FM5</t>
  </si>
  <si>
    <t xml:space="preserve">FM8, FM9</t>
  </si>
  <si>
    <t xml:space="preserve">FM1, FM3, FM5</t>
  </si>
  <si>
    <t xml:space="preserve">Self Average</t>
  </si>
  <si>
    <t xml:space="preserve">Same Prompt — Different Models: OTel Astronomy Shop</t>
  </si>
  <si>
    <t xml:space="preserve">FM1, FM2, FM3, FM5, FM6, FM7, FM8</t>
  </si>
  <si>
    <t xml:space="preserve">FM9, FM11, FM12</t>
  </si>
  <si>
    <t xml:space="preserve">FM10, FM13</t>
  </si>
  <si>
    <t xml:space="preserve">FM1, FM9</t>
  </si>
  <si>
    <t xml:space="preserve">FM11, FM12</t>
  </si>
  <si>
    <t xml:space="preserve">High similarity</t>
  </si>
  <si>
    <t xml:space="preserve">FM1, FM2</t>
  </si>
  <si>
    <t xml:space="preserve">FM3, FM6, FM10, FM11</t>
  </si>
  <si>
    <t xml:space="preserve">FM1, FM2, FM4</t>
  </si>
  <si>
    <t xml:space="preserve">FM3, FM10</t>
  </si>
  <si>
    <t xml:space="preserve">FM1, FM2, FM3, FM10</t>
  </si>
  <si>
    <t xml:space="preserve">FM6, FM11</t>
  </si>
  <si>
    <t xml:space="preserve">FM1, FM14</t>
  </si>
  <si>
    <t xml:space="preserve">FM4, FM7</t>
  </si>
  <si>
    <t xml:space="preserve">FM1, FM3, FM4, FM5, FM6, FM7</t>
  </si>
  <si>
    <t xml:space="preserve">Cross-SUT Analysis: TeaStore vs OTel Astronomy Shop</t>
  </si>
  <si>
    <t xml:space="preserve">Metric</t>
  </si>
  <si>
    <t xml:space="preserve">TeaStore</t>
  </si>
  <si>
    <t xml:space="preserve">OTel Astronomy Shop</t>
  </si>
  <si>
    <t xml:space="preserve">SUT type</t>
  </si>
  <si>
    <t xml:space="preserve">Microservice e-commerce (Java)</t>
  </si>
  <si>
    <t xml:space="preserve">Microservice e-commerce (polyglot)</t>
  </si>
  <si>
    <t xml:space="preserve">Both are realistic distributed web applications</t>
  </si>
  <si>
    <t xml:space="preserve">Deployment</t>
  </si>
  <si>
    <t xml:space="preserve">Docker Compose (full stack)</t>
  </si>
  <si>
    <t xml:space="preserve">Docker Compose (minimal — no OpenSearch)</t>
  </si>
  <si>
    <t xml:space="preserve">OTel limited to partial stack; currency/shipping unavailable</t>
  </si>
  <si>
    <t xml:space="preserve">Valid runs</t>
  </si>
  <si>
    <t xml:space="preserve">14 / 15</t>
  </si>
  <si>
    <t xml:space="preserve">12 / 15</t>
  </si>
  <si>
    <t xml:space="preserve">C-ZeroShot excluded (TeaStore); C-ZeroShot, C-Self, E-Structured excluded (OTel)</t>
  </si>
  <si>
    <t xml:space="preserve">FMs confirmed</t>
  </si>
  <si>
    <t xml:space="preserve">9</t>
  </si>
  <si>
    <t xml:space="preserve">14</t>
  </si>
  <si>
    <t xml:space="preserve">OTel has broader FM surface across checkout, products, cart</t>
  </si>
  <si>
    <t xml:space="preserve">Max FMs by single run</t>
  </si>
  <si>
    <t xml:space="preserve">5  (C-FewShot)</t>
  </si>
  <si>
    <t xml:space="preserve">7  (C-Structured, D-Structured, E-Self)</t>
  </si>
  <si>
    <t xml:space="preserve">OTel runs achieve higher FM coverage per run</t>
  </si>
  <si>
    <t xml:space="preserve">Runs with 0 FMs</t>
  </si>
  <si>
    <t xml:space="preserve">2  (D-ZeroShot, D-Self)</t>
  </si>
  <si>
    <t xml:space="preserve">1  (D-Self)</t>
  </si>
  <si>
    <t xml:space="preserve">D-Self = ∅ in both SUTs — consistent model behavior</t>
  </si>
  <si>
    <t xml:space="preserve">FM1 ubiquity</t>
  </si>
  <si>
    <t xml:space="preserve">10/14 runs (71%)</t>
  </si>
  <si>
    <t xml:space="preserve">11/12 runs (92%)</t>
  </si>
  <si>
    <t xml:space="preserve">Product ID invalid → 500 is the most discoverable failure in both</t>
  </si>
  <si>
    <t xml:space="preserve">Rarest FM</t>
  </si>
  <si>
    <t xml:space="preserve">FM6 — 1/14 runs (D-FewShot only)</t>
  </si>
  <si>
    <t xml:space="preserve">FM12, FM13 — 1/12 runs each</t>
  </si>
  <si>
    <t xml:space="preserve">Both SUTs have rare FMs discoverable only by specific prompt+model combos</t>
  </si>
  <si>
    <t xml:space="preserve">Emergent XSS / whitespace</t>
  </si>
  <si>
    <t xml:space="preserve">2 runs (D-CoT, E-CoT)</t>
  </si>
  <si>
    <t xml:space="preserve">4 runs (C-CoT, D-CoT, E-FewShot, E-CoT)</t>
  </si>
  <si>
    <t xml:space="preserve">Stronger emergent pattern in OTel — 3 models, 2 prompt types</t>
  </si>
  <si>
    <t xml:space="preserve">System_Unavailable class</t>
  </si>
  <si>
    <t xml:space="preserve">None</t>
  </si>
  <si>
    <t xml:space="preserve">Currency + Shipping (always 504)</t>
  </si>
  <si>
    <t xml:space="preserve">OTel partial stack limits robustness coverage for 2 endpoints</t>
  </si>
  <si>
    <t xml:space="preserve">Prompt-Level Jaccard: TeaStore vs OTel</t>
  </si>
  <si>
    <t xml:space="preserve">TeaStore avg Jaccard</t>
  </si>
  <si>
    <t xml:space="preserve">OTel avg Jaccard</t>
  </si>
  <si>
    <t xml:space="preserve">N/A</t>
  </si>
  <si>
    <t xml:space="preserve">1.00</t>
  </si>
  <si>
    <t xml:space="preserve">Structured collapses diversity to identical FM sets in BOTH SUTs regardless of model.  Jaccard = 1.00 in both — strongest cross-SUT replicated finding.</t>
  </si>
  <si>
    <t xml:space="preserve">0.16</t>
  </si>
  <si>
    <t xml:space="preserve">0.31</t>
  </si>
  <si>
    <t xml:space="preserve">High inter-model diversity in TeaStore; moderate in OTel.  FewShot produces most model-dependent output in TeaStore.</t>
  </si>
  <si>
    <t xml:space="preserve">0.30</t>
  </si>
  <si>
    <t xml:space="preserve">0.49</t>
  </si>
  <si>
    <t xml:space="preserve">Moderate diversity in TeaStore; highest inter-model diversity in OTel.  CoT reasoning amplifies model-specific tendencies.</t>
  </si>
  <si>
    <t xml:space="preserve">0.00</t>
  </si>
  <si>
    <t xml:space="preserve">0.40</t>
  </si>
  <si>
    <t xml:space="preserve">D=∅ in TeaStore; D and E find different FMs in OTel.  ZeroShot highly sensitive to model capability.</t>
  </si>
  <si>
    <t xml:space="preserve">0.13</t>
  </si>
  <si>
    <t xml:space="preserve">D-Self=∅ in both; C-Self and E-Self find FMs in TeaStore.  D-Self = ∅ is consistent across both SUTs.</t>
  </si>
  <si>
    <t xml:space="preserve">Within-Model Average Jaccard: TeaStore vs OTel</t>
  </si>
  <si>
    <t xml:space="preserve">Model</t>
  </si>
  <si>
    <t xml:space="preserve">0.41</t>
  </si>
  <si>
    <t xml:space="preserve">0.17</t>
  </si>
  <si>
    <t xml:space="preserve">Model C shows moderate intra-model diversity in both SUTs.</t>
  </si>
  <si>
    <t xml:space="preserve">0.20</t>
  </si>
  <si>
    <t xml:space="preserve">D-Self=∅ pulls Model D average down in both SUTs; D-Structured dominates in OTel.</t>
  </si>
  <si>
    <t xml:space="preserve">0.14</t>
  </si>
  <si>
    <t xml:space="preserve">Model E shows highest intra-model diversity in OTel; moderate in TeaStore.</t>
  </si>
  <si>
    <t xml:space="preserve">Replicated Findings Across Both SUTs</t>
  </si>
  <si>
    <t xml:space="preserve">R1 — Structured prompt collapses diversity:  C-Structured ↔ D-Structured = 1.00 in TeaStore AND in OTel. The violation table constrains all models to the same specification-bounded FM subset. This is the strongest replicated finding of the study.
R2 — D-Self consistently generates 0 failures:  D-Self = ∅ (0 FMs) in TeaStore AND in OTel. qwen2.5-coder:32b with a Self-Refine prompt generates only safe, well-formed inputs that do not trigger any server errors. This behaviour is SUT-independent — it reflects a property of the model+prompt combination.
R3 — Emergent security-aware generation:  Models generated XSS payloads and whitespace-only inputs without any instruction to do so. TeaStore: 2 runs (D-CoT, E-CoT). OTel: 4 runs (C-CoT, D-CoT, E-FewShot, E-CoT). The pattern is stronger in OTel — 3 distinct models on 2 distinct prompt types.
R4 — No single run covers all FMs:  Neither SUT was fully covered by any single LLM run. TeaStore max = 5/9 FMs. OTel max = 7/14 FMs. Diversity across runs is required for full coverage.
R5 — Prompt strategy explains more variance than model size:  The same prompt (Structured) collapses 3 different models to identical FM sets. Different prompts on the same model produce Jaccard as low as 0.10 (TeaStore C-Structured ↔ C-FewShot). The choice of prompt strategy is a stronger predictor of FM coverage than model capability.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</si>
</sst>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0%"/>
    <numFmt numFmtId="167" formatCode="0.00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0"/>
      <charset val="1"/>
    </font>
    <font>
      <b val="true"/>
      <sz val="8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1F3864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0"/>
      <color rgb="FFAAAAAA"/>
      <name val="Arial"/>
      <family val="0"/>
      <charset val="1"/>
    </font>
    <font>
      <b val="true"/>
      <sz val="10"/>
      <name val="Arial"/>
      <family val="0"/>
      <charset val="1"/>
    </font>
    <font>
      <sz val="8.5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1"/>
      <color rgb="FFC55A11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11"/>
      <color rgb="FF2E75B6"/>
      <name val="Arial"/>
      <family val="0"/>
      <charset val="1"/>
    </font>
    <font>
      <b val="true"/>
      <sz val="11"/>
      <color rgb="FF833C00"/>
      <name val="Arial"/>
      <family val="0"/>
      <charset val="1"/>
    </font>
    <font>
      <b val="true"/>
      <sz val="9"/>
      <color rgb="FFC00000"/>
      <name val="Arial"/>
      <family val="0"/>
      <charset val="1"/>
    </font>
    <font>
      <b val="true"/>
      <sz val="9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9"/>
      <name val="Arial"/>
      <family val="0"/>
      <charset val="1"/>
    </font>
  </fonts>
  <fills count="22">
    <fill>
      <patternFill patternType="none"/>
    </fill>
    <fill>
      <patternFill patternType="gray125"/>
    </fill>
    <fill>
      <patternFill patternType="solid">
        <fgColor rgb="FF833C00"/>
        <bgColor rgb="FF993366"/>
      </patternFill>
    </fill>
    <fill>
      <patternFill patternType="solid">
        <fgColor rgb="FF7B96B2"/>
        <bgColor rgb="FF808080"/>
      </patternFill>
    </fill>
    <fill>
      <patternFill patternType="solid">
        <fgColor rgb="FF3A7EBF"/>
        <bgColor rgb="FF2E75B6"/>
      </patternFill>
    </fill>
    <fill>
      <patternFill patternType="solid">
        <fgColor rgb="FF2D6A4F"/>
        <bgColor rgb="FF008080"/>
      </patternFill>
    </fill>
    <fill>
      <patternFill patternType="solid">
        <fgColor rgb="FFD6E4F0"/>
        <bgColor rgb="FFDDEBF7"/>
      </patternFill>
    </fill>
    <fill>
      <patternFill patternType="solid">
        <fgColor rgb="FF70AD47"/>
        <bgColor rgb="FF7B96B2"/>
      </patternFill>
    </fill>
    <fill>
      <patternFill patternType="solid">
        <fgColor rgb="FFF8F8F8"/>
        <bgColor rgb="FFF2F2F2"/>
      </patternFill>
    </fill>
    <fill>
      <patternFill patternType="solid">
        <fgColor rgb="FFE2EFDA"/>
        <bgColor rgb="FFDDEBF7"/>
      </patternFill>
    </fill>
    <fill>
      <patternFill patternType="solid">
        <fgColor rgb="FFFFFFFF"/>
        <bgColor rgb="FFF8F8F8"/>
      </patternFill>
    </fill>
    <fill>
      <patternFill patternType="solid">
        <fgColor rgb="FF1F3864"/>
        <bgColor rgb="FF333333"/>
      </patternFill>
    </fill>
    <fill>
      <patternFill patternType="solid">
        <fgColor rgb="FF2E75B6"/>
        <bgColor rgb="FF3A7EBF"/>
      </patternFill>
    </fill>
    <fill>
      <patternFill patternType="solid">
        <fgColor rgb="FFF2F2F2"/>
        <bgColor rgb="FFF8F8F8"/>
      </patternFill>
    </fill>
    <fill>
      <patternFill patternType="solid">
        <fgColor rgb="FFC55A11"/>
        <bgColor rgb="FF833C00"/>
      </patternFill>
    </fill>
    <fill>
      <patternFill patternType="solid">
        <fgColor rgb="FFD9D9D9"/>
        <bgColor rgb="FFD6DCE4"/>
      </patternFill>
    </fill>
    <fill>
      <patternFill patternType="solid">
        <fgColor rgb="FFDDEBF7"/>
        <bgColor rgb="FFD6E4F0"/>
      </patternFill>
    </fill>
    <fill>
      <patternFill patternType="solid">
        <fgColor rgb="FFC00000"/>
        <bgColor rgb="FF800000"/>
      </patternFill>
    </fill>
    <fill>
      <patternFill patternType="solid">
        <fgColor rgb="FFF4B942"/>
        <bgColor rgb="FFFF9900"/>
      </patternFill>
    </fill>
    <fill>
      <patternFill patternType="solid">
        <fgColor rgb="FFD6DCE4"/>
        <bgColor rgb="FFD9D9D9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11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3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" fillId="11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1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4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5" fillId="1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8" fillId="1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2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2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2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1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1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1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1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1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2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2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2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2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2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2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13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D6A4F"/>
      <rgbColor rgb="FFBFBFBF"/>
      <rgbColor rgb="FF808080"/>
      <rgbColor rgb="FFAAAAAA"/>
      <rgbColor rgb="FF993366"/>
      <rgbColor rgb="FFFFF2CC"/>
      <rgbColor rgb="FFDDEBF7"/>
      <rgbColor rgb="FF660066"/>
      <rgbColor rgb="FFFF8080"/>
      <rgbColor rgb="FF0066CC"/>
      <rgbColor rgb="FFD6D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4F0"/>
      <rgbColor rgb="FFE2EFDA"/>
      <rgbColor rgb="FFF2F2F2"/>
      <rgbColor rgb="FFD9D9D9"/>
      <rgbColor rgb="FFF8F8F8"/>
      <rgbColor rgb="FFCC99FF"/>
      <rgbColor rgb="FFFCE4D6"/>
      <rgbColor rgb="FF2E75B6"/>
      <rgbColor rgb="FF33CCCC"/>
      <rgbColor rgb="FF99CC00"/>
      <rgbColor rgb="FFF4B942"/>
      <rgbColor rgb="FFFF9900"/>
      <rgbColor rgb="FFC55A11"/>
      <rgbColor rgb="FF3A7EBF"/>
      <rgbColor rgb="FF7B96B2"/>
      <rgbColor rgb="FF1F3864"/>
      <rgbColor rgb="FF70AD47"/>
      <rgbColor rgb="FF003300"/>
      <rgbColor rgb="FF333300"/>
      <rgbColor rgb="FF833C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5"/>
    <col collapsed="false" customWidth="true" hidden="false" outlineLevel="0" max="3" min="3" style="0" width="52"/>
    <col collapsed="false" customWidth="true" hidden="false" outlineLevel="0" max="17" min="4" style="0" width="12"/>
    <col collapsed="false" customWidth="true" hidden="false" outlineLevel="0" max="19" min="18" style="0" width="11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customFormat="false" ht="12.75" hidden="false" customHeight="true" outlineLevel="0" collapsed="false">
      <c r="A2" s="2"/>
      <c r="B2" s="2"/>
      <c r="C2" s="2"/>
      <c r="D2" s="3" t="s">
        <v>1</v>
      </c>
      <c r="E2" s="3"/>
      <c r="F2" s="3"/>
      <c r="G2" s="3"/>
      <c r="H2" s="4" t="s">
        <v>2</v>
      </c>
      <c r="I2" s="4"/>
      <c r="J2" s="4"/>
      <c r="K2" s="4"/>
      <c r="L2" s="4"/>
      <c r="M2" s="5" t="s">
        <v>3</v>
      </c>
      <c r="N2" s="5"/>
      <c r="O2" s="5"/>
      <c r="P2" s="5"/>
      <c r="Q2" s="5"/>
      <c r="R2" s="2"/>
      <c r="S2" s="2"/>
    </row>
    <row r="3" customFormat="false" ht="13.5" hidden="false" customHeight="true" outlineLevel="0" collapsed="false">
      <c r="A3" s="6" t="s">
        <v>4</v>
      </c>
      <c r="B3" s="6" t="s">
        <v>5</v>
      </c>
      <c r="C3" s="6" t="s">
        <v>6</v>
      </c>
      <c r="D3" s="6" t="s">
        <v>7</v>
      </c>
      <c r="E3" s="6" t="s">
        <v>8</v>
      </c>
      <c r="F3" s="6" t="s">
        <v>9</v>
      </c>
      <c r="G3" s="6" t="s">
        <v>10</v>
      </c>
      <c r="H3" s="6" t="s">
        <v>11</v>
      </c>
      <c r="I3" s="6" t="s">
        <v>12</v>
      </c>
      <c r="J3" s="6" t="s">
        <v>13</v>
      </c>
      <c r="K3" s="6" t="s">
        <v>14</v>
      </c>
      <c r="L3" s="6" t="s">
        <v>15</v>
      </c>
      <c r="M3" s="6" t="s">
        <v>16</v>
      </c>
      <c r="N3" s="6" t="s">
        <v>17</v>
      </c>
      <c r="O3" s="6" t="s">
        <v>18</v>
      </c>
      <c r="P3" s="6" t="s">
        <v>19</v>
      </c>
      <c r="Q3" s="6" t="s">
        <v>20</v>
      </c>
      <c r="R3" s="6" t="s">
        <v>21</v>
      </c>
      <c r="S3" s="6" t="s">
        <v>22</v>
      </c>
    </row>
    <row r="4" customFormat="false" ht="15" hidden="false" customHeight="true" outlineLevel="0" collapsed="false">
      <c r="A4" s="7" t="s">
        <v>23</v>
      </c>
      <c r="B4" s="8" t="n">
        <v>1</v>
      </c>
      <c r="C4" s="9" t="s">
        <v>24</v>
      </c>
      <c r="D4" s="10" t="n">
        <v>1</v>
      </c>
      <c r="E4" s="10" t="n">
        <v>1</v>
      </c>
      <c r="F4" s="10" t="n">
        <v>1</v>
      </c>
      <c r="G4" s="10" t="n">
        <v>1</v>
      </c>
      <c r="H4" s="10" t="n">
        <v>1</v>
      </c>
      <c r="I4" s="10" t="n">
        <v>1</v>
      </c>
      <c r="J4" s="10" t="n">
        <v>1</v>
      </c>
      <c r="K4" s="11" t="n">
        <v>0</v>
      </c>
      <c r="L4" s="11" t="n">
        <v>0</v>
      </c>
      <c r="M4" s="11" t="n">
        <v>0</v>
      </c>
      <c r="N4" s="10" t="n">
        <v>1</v>
      </c>
      <c r="O4" s="10" t="n">
        <v>1</v>
      </c>
      <c r="P4" s="11" t="n">
        <v>0</v>
      </c>
      <c r="Q4" s="10" t="n">
        <v>1</v>
      </c>
      <c r="R4" s="12" t="n">
        <f aca="false">SUM(D4:Q4)</f>
        <v>10</v>
      </c>
      <c r="S4" s="13" t="n">
        <f aca="false">R4/14</f>
        <v>0.714285714285714</v>
      </c>
    </row>
    <row r="5" customFormat="false" ht="15" hidden="false" customHeight="true" outlineLevel="0" collapsed="false">
      <c r="A5" s="14" t="s">
        <v>25</v>
      </c>
      <c r="B5" s="15" t="n">
        <v>2</v>
      </c>
      <c r="C5" s="16" t="s">
        <v>26</v>
      </c>
      <c r="D5" s="11" t="n">
        <v>0</v>
      </c>
      <c r="E5" s="11" t="n">
        <v>0</v>
      </c>
      <c r="F5" s="11" t="n">
        <v>0</v>
      </c>
      <c r="G5" s="11" t="n">
        <v>0</v>
      </c>
      <c r="H5" s="11" t="n">
        <v>0</v>
      </c>
      <c r="I5" s="11" t="n">
        <v>0</v>
      </c>
      <c r="J5" s="10" t="n">
        <v>1</v>
      </c>
      <c r="K5" s="11" t="n">
        <v>0</v>
      </c>
      <c r="L5" s="11" t="n">
        <v>0</v>
      </c>
      <c r="M5" s="10" t="n">
        <v>1</v>
      </c>
      <c r="N5" s="11" t="n">
        <v>0</v>
      </c>
      <c r="O5" s="11" t="n">
        <v>0</v>
      </c>
      <c r="P5" s="11" t="n">
        <v>0</v>
      </c>
      <c r="Q5" s="11" t="n">
        <v>0</v>
      </c>
      <c r="R5" s="12" t="n">
        <f aca="false">SUM(D5:Q5)</f>
        <v>2</v>
      </c>
      <c r="S5" s="13" t="n">
        <f aca="false">R5/14</f>
        <v>0.142857142857143</v>
      </c>
    </row>
    <row r="6" customFormat="false" ht="15" hidden="false" customHeight="true" outlineLevel="0" collapsed="false">
      <c r="A6" s="7" t="s">
        <v>27</v>
      </c>
      <c r="B6" s="8" t="n">
        <v>3</v>
      </c>
      <c r="C6" s="9" t="s">
        <v>28</v>
      </c>
      <c r="D6" s="11" t="n">
        <v>0</v>
      </c>
      <c r="E6" s="11" t="n">
        <v>0</v>
      </c>
      <c r="F6" s="11" t="n">
        <v>0</v>
      </c>
      <c r="G6" s="11" t="n">
        <v>0</v>
      </c>
      <c r="H6" s="10" t="n">
        <v>1</v>
      </c>
      <c r="I6" s="11" t="n">
        <v>0</v>
      </c>
      <c r="J6" s="10" t="n">
        <v>1</v>
      </c>
      <c r="K6" s="11" t="n">
        <v>0</v>
      </c>
      <c r="L6" s="11" t="n">
        <v>0</v>
      </c>
      <c r="M6" s="11" t="n">
        <v>0</v>
      </c>
      <c r="N6" s="10" t="n">
        <v>1</v>
      </c>
      <c r="O6" s="11" t="n">
        <v>0</v>
      </c>
      <c r="P6" s="11" t="n">
        <v>0</v>
      </c>
      <c r="Q6" s="10" t="n">
        <v>1</v>
      </c>
      <c r="R6" s="12" t="n">
        <f aca="false">SUM(D6:Q6)</f>
        <v>4</v>
      </c>
      <c r="S6" s="13" t="n">
        <f aca="false">R6/14</f>
        <v>0.285714285714286</v>
      </c>
    </row>
    <row r="7" customFormat="false" ht="15" hidden="false" customHeight="true" outlineLevel="0" collapsed="false">
      <c r="A7" s="14" t="s">
        <v>29</v>
      </c>
      <c r="B7" s="15" t="n">
        <v>4</v>
      </c>
      <c r="C7" s="16" t="s">
        <v>30</v>
      </c>
      <c r="D7" s="10" t="n">
        <v>1</v>
      </c>
      <c r="E7" s="11" t="n">
        <v>0</v>
      </c>
      <c r="F7" s="11" t="n">
        <v>0</v>
      </c>
      <c r="G7" s="10" t="n">
        <v>1</v>
      </c>
      <c r="H7" s="11" t="n">
        <v>0</v>
      </c>
      <c r="I7" s="11" t="n">
        <v>0</v>
      </c>
      <c r="J7" s="11" t="n">
        <v>0</v>
      </c>
      <c r="K7" s="11" t="n">
        <v>0</v>
      </c>
      <c r="L7" s="11" t="n">
        <v>0</v>
      </c>
      <c r="M7" s="10" t="n">
        <v>1</v>
      </c>
      <c r="N7" s="11" t="n">
        <v>0</v>
      </c>
      <c r="O7" s="11" t="n">
        <v>0</v>
      </c>
      <c r="P7" s="11" t="n">
        <v>0</v>
      </c>
      <c r="Q7" s="11" t="n">
        <v>0</v>
      </c>
      <c r="R7" s="12" t="n">
        <f aca="false">SUM(D7:Q7)</f>
        <v>3</v>
      </c>
      <c r="S7" s="13" t="n">
        <f aca="false">R7/14</f>
        <v>0.214285714285714</v>
      </c>
    </row>
    <row r="8" customFormat="false" ht="15" hidden="false" customHeight="true" outlineLevel="0" collapsed="false">
      <c r="A8" s="7" t="s">
        <v>31</v>
      </c>
      <c r="B8" s="8" t="n">
        <v>5</v>
      </c>
      <c r="C8" s="9" t="s">
        <v>32</v>
      </c>
      <c r="D8" s="10" t="n">
        <v>1</v>
      </c>
      <c r="E8" s="10" t="n">
        <v>1</v>
      </c>
      <c r="F8" s="11" t="n">
        <v>0</v>
      </c>
      <c r="G8" s="11" t="n">
        <v>0</v>
      </c>
      <c r="H8" s="11" t="n">
        <v>0</v>
      </c>
      <c r="I8" s="11" t="n">
        <v>0</v>
      </c>
      <c r="J8" s="11" t="n">
        <v>0</v>
      </c>
      <c r="K8" s="11" t="n">
        <v>0</v>
      </c>
      <c r="L8" s="11" t="n">
        <v>0</v>
      </c>
      <c r="M8" s="11" t="n">
        <v>0</v>
      </c>
      <c r="N8" s="10" t="n">
        <v>1</v>
      </c>
      <c r="O8" s="11" t="n">
        <v>0</v>
      </c>
      <c r="P8" s="11" t="n">
        <v>0</v>
      </c>
      <c r="Q8" s="10" t="n">
        <v>1</v>
      </c>
      <c r="R8" s="12" t="n">
        <f aca="false">SUM(D8:Q8)</f>
        <v>4</v>
      </c>
      <c r="S8" s="13" t="n">
        <f aca="false">R8/14</f>
        <v>0.285714285714286</v>
      </c>
    </row>
    <row r="9" customFormat="false" ht="15" hidden="false" customHeight="true" outlineLevel="0" collapsed="false">
      <c r="A9" s="14" t="s">
        <v>33</v>
      </c>
      <c r="B9" s="15" t="n">
        <v>6</v>
      </c>
      <c r="C9" s="16" t="s">
        <v>34</v>
      </c>
      <c r="D9" s="11" t="n">
        <v>0</v>
      </c>
      <c r="E9" s="11" t="n">
        <v>0</v>
      </c>
      <c r="F9" s="11" t="n">
        <v>0</v>
      </c>
      <c r="G9" s="11" t="n">
        <v>0</v>
      </c>
      <c r="H9" s="10" t="n">
        <v>1</v>
      </c>
      <c r="I9" s="11" t="n">
        <v>0</v>
      </c>
      <c r="J9" s="11" t="n">
        <v>0</v>
      </c>
      <c r="K9" s="11" t="n">
        <v>0</v>
      </c>
      <c r="L9" s="11" t="n">
        <v>0</v>
      </c>
      <c r="M9" s="11" t="n">
        <v>0</v>
      </c>
      <c r="N9" s="11" t="n">
        <v>0</v>
      </c>
      <c r="O9" s="11" t="n">
        <v>0</v>
      </c>
      <c r="P9" s="11" t="n">
        <v>0</v>
      </c>
      <c r="Q9" s="11" t="n">
        <v>0</v>
      </c>
      <c r="R9" s="12" t="n">
        <f aca="false">SUM(D9:Q9)</f>
        <v>1</v>
      </c>
      <c r="S9" s="13" t="n">
        <f aca="false">R9/14</f>
        <v>0.0714285714285714</v>
      </c>
    </row>
    <row r="10" customFormat="false" ht="15" hidden="false" customHeight="true" outlineLevel="0" collapsed="false">
      <c r="A10" s="7" t="s">
        <v>35</v>
      </c>
      <c r="B10" s="8" t="n">
        <v>7</v>
      </c>
      <c r="C10" s="9" t="s">
        <v>36</v>
      </c>
      <c r="D10" s="10" t="n">
        <v>1</v>
      </c>
      <c r="E10" s="11" t="n">
        <v>0</v>
      </c>
      <c r="F10" s="11" t="n">
        <v>0</v>
      </c>
      <c r="G10" s="10" t="n">
        <v>1</v>
      </c>
      <c r="H10" s="11" t="n">
        <v>0</v>
      </c>
      <c r="I10" s="11" t="n">
        <v>0</v>
      </c>
      <c r="J10" s="11" t="n">
        <v>0</v>
      </c>
      <c r="K10" s="11" t="n">
        <v>0</v>
      </c>
      <c r="L10" s="11" t="n">
        <v>0</v>
      </c>
      <c r="M10" s="11" t="n">
        <v>0</v>
      </c>
      <c r="N10" s="11" t="n">
        <v>0</v>
      </c>
      <c r="O10" s="11" t="n">
        <v>0</v>
      </c>
      <c r="P10" s="11" t="n">
        <v>0</v>
      </c>
      <c r="Q10" s="10" t="n">
        <v>1</v>
      </c>
      <c r="R10" s="12" t="n">
        <f aca="false">SUM(D10:Q10)</f>
        <v>3</v>
      </c>
      <c r="S10" s="13" t="n">
        <f aca="false">R10/14</f>
        <v>0.214285714285714</v>
      </c>
    </row>
    <row r="11" customFormat="false" ht="15" hidden="false" customHeight="true" outlineLevel="0" collapsed="false">
      <c r="A11" s="14" t="s">
        <v>37</v>
      </c>
      <c r="B11" s="15" t="n">
        <v>8</v>
      </c>
      <c r="C11" s="16" t="s">
        <v>38</v>
      </c>
      <c r="D11" s="10" t="n">
        <v>1</v>
      </c>
      <c r="E11" s="10" t="n">
        <v>1</v>
      </c>
      <c r="F11" s="10" t="n">
        <v>1</v>
      </c>
      <c r="G11" s="11" t="n">
        <v>0</v>
      </c>
      <c r="H11" s="11" t="n">
        <v>0</v>
      </c>
      <c r="I11" s="10" t="n">
        <v>1</v>
      </c>
      <c r="J11" s="11" t="n">
        <v>0</v>
      </c>
      <c r="K11" s="11" t="n">
        <v>0</v>
      </c>
      <c r="L11" s="11" t="n">
        <v>0</v>
      </c>
      <c r="M11" s="10" t="n">
        <v>1</v>
      </c>
      <c r="N11" s="11" t="n">
        <v>0</v>
      </c>
      <c r="O11" s="10" t="n">
        <v>1</v>
      </c>
      <c r="P11" s="11" t="n">
        <v>0</v>
      </c>
      <c r="Q11" s="11" t="n">
        <v>0</v>
      </c>
      <c r="R11" s="12" t="n">
        <f aca="false">SUM(D11:Q11)</f>
        <v>6</v>
      </c>
      <c r="S11" s="13" t="n">
        <f aca="false">R11/14</f>
        <v>0.428571428571429</v>
      </c>
    </row>
    <row r="12" customFormat="false" ht="15" hidden="false" customHeight="true" outlineLevel="0" collapsed="false">
      <c r="A12" s="7" t="s">
        <v>39</v>
      </c>
      <c r="B12" s="8" t="n">
        <v>9</v>
      </c>
      <c r="C12" s="9" t="s">
        <v>40</v>
      </c>
      <c r="D12" s="11" t="n">
        <v>0</v>
      </c>
      <c r="E12" s="10" t="n">
        <v>1</v>
      </c>
      <c r="F12" s="11" t="n">
        <v>0</v>
      </c>
      <c r="G12" s="10" t="n">
        <v>1</v>
      </c>
      <c r="H12" s="11" t="n">
        <v>0</v>
      </c>
      <c r="I12" s="11" t="n">
        <v>0</v>
      </c>
      <c r="J12" s="11" t="n">
        <v>0</v>
      </c>
      <c r="K12" s="11" t="n">
        <v>0</v>
      </c>
      <c r="L12" s="11" t="n">
        <v>0</v>
      </c>
      <c r="M12" s="11" t="n">
        <v>0</v>
      </c>
      <c r="N12" s="11" t="n">
        <v>0</v>
      </c>
      <c r="O12" s="11" t="n">
        <v>0</v>
      </c>
      <c r="P12" s="10" t="n">
        <v>1</v>
      </c>
      <c r="Q12" s="11" t="n">
        <v>0</v>
      </c>
      <c r="R12" s="12" t="n">
        <f aca="false">SUM(D12:Q12)</f>
        <v>3</v>
      </c>
      <c r="S12" s="13" t="n">
        <f aca="false">R12/14</f>
        <v>0.214285714285714</v>
      </c>
    </row>
    <row r="13" customFormat="false" ht="13.5" hidden="false" customHeight="true" outlineLevel="0" collapsed="false">
      <c r="A13" s="17"/>
      <c r="B13" s="17"/>
      <c r="C13" s="18" t="s">
        <v>41</v>
      </c>
      <c r="D13" s="19" t="n">
        <f aca="false">SUM(D4:D12)</f>
        <v>5</v>
      </c>
      <c r="E13" s="19" t="n">
        <f aca="false">SUM(E4:E12)</f>
        <v>4</v>
      </c>
      <c r="F13" s="19" t="n">
        <f aca="false">SUM(F4:F12)</f>
        <v>2</v>
      </c>
      <c r="G13" s="19" t="n">
        <f aca="false">SUM(G4:G12)</f>
        <v>4</v>
      </c>
      <c r="H13" s="19" t="n">
        <f aca="false">SUM(H4:H12)</f>
        <v>3</v>
      </c>
      <c r="I13" s="19" t="n">
        <f aca="false">SUM(I4:I12)</f>
        <v>2</v>
      </c>
      <c r="J13" s="19" t="n">
        <f aca="false">SUM(J4:J12)</f>
        <v>3</v>
      </c>
      <c r="K13" s="19" t="n">
        <f aca="false">SUM(K4:K12)</f>
        <v>0</v>
      </c>
      <c r="L13" s="19" t="n">
        <f aca="false">SUM(L4:L12)</f>
        <v>0</v>
      </c>
      <c r="M13" s="19" t="n">
        <f aca="false">SUM(M4:M12)</f>
        <v>3</v>
      </c>
      <c r="N13" s="19" t="n">
        <f aca="false">SUM(N4:N12)</f>
        <v>3</v>
      </c>
      <c r="O13" s="19" t="n">
        <f aca="false">SUM(O4:O12)</f>
        <v>2</v>
      </c>
      <c r="P13" s="19" t="n">
        <f aca="false">SUM(P4:P12)</f>
        <v>1</v>
      </c>
      <c r="Q13" s="19" t="n">
        <f aca="false">SUM(Q4:Q12)</f>
        <v>4</v>
      </c>
      <c r="R13" s="17"/>
      <c r="S13" s="17"/>
    </row>
    <row r="15" customFormat="false" ht="69.75" hidden="false" customHeight="true" outlineLevel="0" collapsed="false">
      <c r="A15" s="20" t="s">
        <v>42</v>
      </c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</row>
    <row r="16" customFormat="false" ht="15" hidden="false" customHeight="false" outlineLevel="0" collapsed="false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</row>
    <row r="17" customFormat="false" ht="15" hidden="false" customHeight="false" outlineLevel="0" collapsed="false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</row>
    <row r="18" customFormat="false" ht="15" hidden="false" customHeight="false" outlineLevel="0" collapsed="false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</row>
    <row r="19" customFormat="false" ht="15" hidden="false" customHeight="false" outlineLevel="0" collapsed="false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</row>
  </sheetData>
  <mergeCells count="5">
    <mergeCell ref="A1:S1"/>
    <mergeCell ref="D2:G2"/>
    <mergeCell ref="H2:L2"/>
    <mergeCell ref="M2:Q2"/>
    <mergeCell ref="A15:R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5"/>
    <col collapsed="false" customWidth="true" hidden="false" outlineLevel="0" max="3" min="3" style="0" width="52"/>
    <col collapsed="false" customWidth="true" hidden="false" outlineLevel="0" max="15" min="4" style="0" width="12"/>
    <col collapsed="false" customWidth="true" hidden="false" outlineLevel="0" max="17" min="16" style="0" width="11"/>
  </cols>
  <sheetData>
    <row r="1" customFormat="false" ht="21.75" hidden="false" customHeight="true" outlineLevel="0" collapsed="false">
      <c r="A1" s="21" t="s">
        <v>43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</row>
    <row r="2" customFormat="false" ht="12.75" hidden="false" customHeight="true" outlineLevel="0" collapsed="false">
      <c r="A2" s="17"/>
      <c r="B2" s="17"/>
      <c r="C2" s="17"/>
      <c r="D2" s="3" t="s">
        <v>1</v>
      </c>
      <c r="E2" s="3"/>
      <c r="F2" s="3"/>
      <c r="G2" s="4" t="s">
        <v>2</v>
      </c>
      <c r="H2" s="4"/>
      <c r="I2" s="4"/>
      <c r="J2" s="4"/>
      <c r="K2" s="4"/>
      <c r="L2" s="5" t="s">
        <v>3</v>
      </c>
      <c r="M2" s="5"/>
      <c r="N2" s="5"/>
      <c r="O2" s="5"/>
      <c r="P2" s="17"/>
      <c r="Q2" s="17"/>
    </row>
    <row r="3" customFormat="false" ht="13.5" hidden="false" customHeight="true" outlineLevel="0" collapsed="false">
      <c r="A3" s="19" t="s">
        <v>4</v>
      </c>
      <c r="B3" s="19" t="s">
        <v>5</v>
      </c>
      <c r="C3" s="19" t="s">
        <v>6</v>
      </c>
      <c r="D3" s="19" t="s">
        <v>44</v>
      </c>
      <c r="E3" s="19" t="s">
        <v>7</v>
      </c>
      <c r="F3" s="19" t="s">
        <v>10</v>
      </c>
      <c r="G3" s="19" t="s">
        <v>14</v>
      </c>
      <c r="H3" s="19" t="s">
        <v>45</v>
      </c>
      <c r="I3" s="19" t="s">
        <v>11</v>
      </c>
      <c r="J3" s="19" t="s">
        <v>15</v>
      </c>
      <c r="K3" s="19" t="s">
        <v>13</v>
      </c>
      <c r="L3" s="19" t="s">
        <v>19</v>
      </c>
      <c r="M3" s="19" t="s">
        <v>16</v>
      </c>
      <c r="N3" s="19" t="s">
        <v>17</v>
      </c>
      <c r="O3" s="19" t="s">
        <v>20</v>
      </c>
      <c r="P3" s="19" t="s">
        <v>21</v>
      </c>
      <c r="Q3" s="19" t="s">
        <v>22</v>
      </c>
    </row>
    <row r="4" customFormat="false" ht="15" hidden="false" customHeight="true" outlineLevel="0" collapsed="false">
      <c r="A4" s="7" t="s">
        <v>23</v>
      </c>
      <c r="B4" s="8" t="n">
        <v>1</v>
      </c>
      <c r="C4" s="9" t="s">
        <v>46</v>
      </c>
      <c r="D4" s="10" t="n">
        <v>1</v>
      </c>
      <c r="E4" s="10" t="n">
        <v>1</v>
      </c>
      <c r="F4" s="10" t="n">
        <v>1</v>
      </c>
      <c r="G4" s="10" t="n">
        <v>1</v>
      </c>
      <c r="H4" s="10" t="n">
        <v>1</v>
      </c>
      <c r="I4" s="10" t="n">
        <v>1</v>
      </c>
      <c r="J4" s="11" t="n">
        <v>0</v>
      </c>
      <c r="K4" s="10" t="n">
        <v>1</v>
      </c>
      <c r="L4" s="10" t="n">
        <v>1</v>
      </c>
      <c r="M4" s="10" t="n">
        <v>1</v>
      </c>
      <c r="N4" s="10" t="n">
        <v>1</v>
      </c>
      <c r="O4" s="10" t="n">
        <v>1</v>
      </c>
      <c r="P4" s="12" t="n">
        <f aca="false">SUM(D4:O4)</f>
        <v>11</v>
      </c>
      <c r="Q4" s="13" t="n">
        <f aca="false">P4/12</f>
        <v>0.916666666666667</v>
      </c>
    </row>
    <row r="5" customFormat="false" ht="15" hidden="false" customHeight="true" outlineLevel="0" collapsed="false">
      <c r="A5" s="14" t="s">
        <v>25</v>
      </c>
      <c r="B5" s="15" t="n">
        <v>2</v>
      </c>
      <c r="C5" s="16" t="s">
        <v>47</v>
      </c>
      <c r="D5" s="10" t="n">
        <v>1</v>
      </c>
      <c r="E5" s="11" t="n">
        <v>0</v>
      </c>
      <c r="F5" s="10" t="n">
        <v>1</v>
      </c>
      <c r="G5" s="11" t="n">
        <v>0</v>
      </c>
      <c r="H5" s="10" t="n">
        <v>1</v>
      </c>
      <c r="I5" s="11" t="n">
        <v>0</v>
      </c>
      <c r="J5" s="11" t="n">
        <v>0</v>
      </c>
      <c r="K5" s="10" t="n">
        <v>1</v>
      </c>
      <c r="L5" s="11" t="n">
        <v>0</v>
      </c>
      <c r="M5" s="11" t="n">
        <v>0</v>
      </c>
      <c r="N5" s="11" t="n">
        <v>0</v>
      </c>
      <c r="O5" s="10" t="n">
        <v>1</v>
      </c>
      <c r="P5" s="12" t="n">
        <f aca="false">SUM(D5:O5)</f>
        <v>5</v>
      </c>
      <c r="Q5" s="13" t="n">
        <f aca="false">P5/12</f>
        <v>0.416666666666667</v>
      </c>
    </row>
    <row r="6" customFormat="false" ht="15" hidden="false" customHeight="true" outlineLevel="0" collapsed="false">
      <c r="A6" s="7" t="s">
        <v>27</v>
      </c>
      <c r="B6" s="8" t="n">
        <v>3</v>
      </c>
      <c r="C6" s="9" t="s">
        <v>48</v>
      </c>
      <c r="D6" s="10" t="n">
        <v>1</v>
      </c>
      <c r="E6" s="11" t="n">
        <v>0</v>
      </c>
      <c r="F6" s="11" t="n">
        <v>0</v>
      </c>
      <c r="G6" s="11" t="n">
        <v>0</v>
      </c>
      <c r="H6" s="10" t="n">
        <v>1</v>
      </c>
      <c r="I6" s="11" t="n">
        <v>0</v>
      </c>
      <c r="J6" s="11" t="n">
        <v>0</v>
      </c>
      <c r="K6" s="10" t="n">
        <v>1</v>
      </c>
      <c r="L6" s="11" t="n">
        <v>0</v>
      </c>
      <c r="M6" s="11" t="n">
        <v>0</v>
      </c>
      <c r="N6" s="10" t="n">
        <v>1</v>
      </c>
      <c r="O6" s="10" t="n">
        <v>1</v>
      </c>
      <c r="P6" s="12" t="n">
        <f aca="false">SUM(D6:O6)</f>
        <v>5</v>
      </c>
      <c r="Q6" s="13" t="n">
        <f aca="false">P6/12</f>
        <v>0.416666666666667</v>
      </c>
    </row>
    <row r="7" customFormat="false" ht="15" hidden="false" customHeight="true" outlineLevel="0" collapsed="false">
      <c r="A7" s="14" t="s">
        <v>29</v>
      </c>
      <c r="B7" s="15" t="n">
        <v>4</v>
      </c>
      <c r="C7" s="16" t="s">
        <v>49</v>
      </c>
      <c r="D7" s="11" t="n">
        <v>0</v>
      </c>
      <c r="E7" s="11" t="n">
        <v>0</v>
      </c>
      <c r="F7" s="10" t="n">
        <v>1</v>
      </c>
      <c r="G7" s="10" t="n">
        <v>1</v>
      </c>
      <c r="H7" s="11" t="n">
        <v>0</v>
      </c>
      <c r="I7" s="11" t="n">
        <v>0</v>
      </c>
      <c r="J7" s="11" t="n">
        <v>0</v>
      </c>
      <c r="K7" s="11" t="n">
        <v>0</v>
      </c>
      <c r="L7" s="11" t="n">
        <v>0</v>
      </c>
      <c r="M7" s="11" t="n">
        <v>0</v>
      </c>
      <c r="N7" s="10" t="n">
        <v>1</v>
      </c>
      <c r="O7" s="10" t="n">
        <v>1</v>
      </c>
      <c r="P7" s="12" t="n">
        <f aca="false">SUM(D7:O7)</f>
        <v>4</v>
      </c>
      <c r="Q7" s="13" t="n">
        <f aca="false">P7/12</f>
        <v>0.333333333333333</v>
      </c>
    </row>
    <row r="8" customFormat="false" ht="15" hidden="false" customHeight="true" outlineLevel="0" collapsed="false">
      <c r="A8" s="7" t="s">
        <v>31</v>
      </c>
      <c r="B8" s="8" t="n">
        <v>5</v>
      </c>
      <c r="C8" s="9" t="s">
        <v>50</v>
      </c>
      <c r="D8" s="10" t="n">
        <v>1</v>
      </c>
      <c r="E8" s="11" t="n">
        <v>0</v>
      </c>
      <c r="F8" s="11" t="n">
        <v>0</v>
      </c>
      <c r="G8" s="11" t="n">
        <v>0</v>
      </c>
      <c r="H8" s="10" t="n">
        <v>1</v>
      </c>
      <c r="I8" s="11" t="n">
        <v>0</v>
      </c>
      <c r="J8" s="11" t="n">
        <v>0</v>
      </c>
      <c r="K8" s="11" t="n">
        <v>0</v>
      </c>
      <c r="L8" s="11" t="n">
        <v>0</v>
      </c>
      <c r="M8" s="11" t="n">
        <v>0</v>
      </c>
      <c r="N8" s="10" t="n">
        <v>1</v>
      </c>
      <c r="O8" s="11" t="n">
        <v>0</v>
      </c>
      <c r="P8" s="12" t="n">
        <f aca="false">SUM(D8:O8)</f>
        <v>3</v>
      </c>
      <c r="Q8" s="13" t="n">
        <f aca="false">P8/12</f>
        <v>0.25</v>
      </c>
    </row>
    <row r="9" customFormat="false" ht="15" hidden="false" customHeight="true" outlineLevel="0" collapsed="false">
      <c r="A9" s="14" t="s">
        <v>33</v>
      </c>
      <c r="B9" s="15" t="n">
        <v>6</v>
      </c>
      <c r="C9" s="16" t="s">
        <v>51</v>
      </c>
      <c r="D9" s="10" t="n">
        <v>1</v>
      </c>
      <c r="E9" s="11" t="n">
        <v>0</v>
      </c>
      <c r="F9" s="11" t="n">
        <v>0</v>
      </c>
      <c r="G9" s="11" t="n">
        <v>0</v>
      </c>
      <c r="H9" s="10" t="n">
        <v>1</v>
      </c>
      <c r="I9" s="11" t="n">
        <v>0</v>
      </c>
      <c r="J9" s="11" t="n">
        <v>0</v>
      </c>
      <c r="K9" s="10" t="n">
        <v>1</v>
      </c>
      <c r="L9" s="11" t="n">
        <v>0</v>
      </c>
      <c r="M9" s="11" t="n">
        <v>0</v>
      </c>
      <c r="N9" s="10" t="n">
        <v>1</v>
      </c>
      <c r="O9" s="11" t="n">
        <v>0</v>
      </c>
      <c r="P9" s="12" t="n">
        <f aca="false">SUM(D9:O9)</f>
        <v>4</v>
      </c>
      <c r="Q9" s="13" t="n">
        <f aca="false">P9/12</f>
        <v>0.333333333333333</v>
      </c>
    </row>
    <row r="10" customFormat="false" ht="15" hidden="false" customHeight="true" outlineLevel="0" collapsed="false">
      <c r="A10" s="7" t="s">
        <v>35</v>
      </c>
      <c r="B10" s="8" t="n">
        <v>7</v>
      </c>
      <c r="C10" s="9" t="s">
        <v>52</v>
      </c>
      <c r="D10" s="10" t="n">
        <v>1</v>
      </c>
      <c r="E10" s="11" t="n">
        <v>0</v>
      </c>
      <c r="F10" s="11" t="n">
        <v>0</v>
      </c>
      <c r="G10" s="10" t="n">
        <v>1</v>
      </c>
      <c r="H10" s="10" t="n">
        <v>1</v>
      </c>
      <c r="I10" s="11" t="n">
        <v>0</v>
      </c>
      <c r="J10" s="11" t="n">
        <v>0</v>
      </c>
      <c r="K10" s="11" t="n">
        <v>0</v>
      </c>
      <c r="L10" s="11" t="n">
        <v>0</v>
      </c>
      <c r="M10" s="11" t="n">
        <v>0</v>
      </c>
      <c r="N10" s="10" t="n">
        <v>1</v>
      </c>
      <c r="O10" s="11" t="n">
        <v>0</v>
      </c>
      <c r="P10" s="12" t="n">
        <f aca="false">SUM(D10:O10)</f>
        <v>4</v>
      </c>
      <c r="Q10" s="13" t="n">
        <f aca="false">P10/12</f>
        <v>0.333333333333333</v>
      </c>
    </row>
    <row r="11" customFormat="false" ht="15" hidden="false" customHeight="true" outlineLevel="0" collapsed="false">
      <c r="A11" s="14" t="s">
        <v>37</v>
      </c>
      <c r="B11" s="15" t="n">
        <v>8</v>
      </c>
      <c r="C11" s="16" t="s">
        <v>53</v>
      </c>
      <c r="D11" s="10" t="n">
        <v>1</v>
      </c>
      <c r="E11" s="11" t="n">
        <v>0</v>
      </c>
      <c r="F11" s="11" t="n">
        <v>0</v>
      </c>
      <c r="G11" s="11" t="n">
        <v>0</v>
      </c>
      <c r="H11" s="10" t="n">
        <v>1</v>
      </c>
      <c r="I11" s="11" t="n">
        <v>0</v>
      </c>
      <c r="J11" s="11" t="n">
        <v>0</v>
      </c>
      <c r="K11" s="11" t="n">
        <v>0</v>
      </c>
      <c r="L11" s="11" t="n">
        <v>0</v>
      </c>
      <c r="M11" s="11" t="n">
        <v>0</v>
      </c>
      <c r="N11" s="11" t="n">
        <v>0</v>
      </c>
      <c r="O11" s="11" t="n">
        <v>0</v>
      </c>
      <c r="P11" s="12" t="n">
        <f aca="false">SUM(D11:O11)</f>
        <v>2</v>
      </c>
      <c r="Q11" s="13" t="n">
        <f aca="false">P11/12</f>
        <v>0.166666666666667</v>
      </c>
    </row>
    <row r="12" customFormat="false" ht="15" hidden="false" customHeight="true" outlineLevel="0" collapsed="false">
      <c r="A12" s="7" t="s">
        <v>39</v>
      </c>
      <c r="B12" s="8" t="n">
        <v>9</v>
      </c>
      <c r="C12" s="9" t="s">
        <v>54</v>
      </c>
      <c r="D12" s="11" t="n">
        <v>0</v>
      </c>
      <c r="E12" s="10" t="n">
        <v>1</v>
      </c>
      <c r="F12" s="11" t="n">
        <v>0</v>
      </c>
      <c r="G12" s="11" t="n">
        <v>0</v>
      </c>
      <c r="H12" s="11" t="n">
        <v>0</v>
      </c>
      <c r="I12" s="11" t="n">
        <v>0</v>
      </c>
      <c r="J12" s="11" t="n">
        <v>0</v>
      </c>
      <c r="K12" s="11" t="n">
        <v>0</v>
      </c>
      <c r="L12" s="11" t="n">
        <v>0</v>
      </c>
      <c r="M12" s="10" t="n">
        <v>1</v>
      </c>
      <c r="N12" s="11" t="n">
        <v>0</v>
      </c>
      <c r="O12" s="11" t="n">
        <v>0</v>
      </c>
      <c r="P12" s="12" t="n">
        <f aca="false">SUM(D12:O12)</f>
        <v>2</v>
      </c>
      <c r="Q12" s="13" t="n">
        <f aca="false">P12/12</f>
        <v>0.166666666666667</v>
      </c>
    </row>
    <row r="13" customFormat="false" ht="15" hidden="false" customHeight="true" outlineLevel="0" collapsed="false">
      <c r="A13" s="14" t="s">
        <v>55</v>
      </c>
      <c r="B13" s="15" t="n">
        <v>10</v>
      </c>
      <c r="C13" s="16" t="s">
        <v>56</v>
      </c>
      <c r="D13" s="11" t="n">
        <v>0</v>
      </c>
      <c r="E13" s="11" t="n">
        <v>0</v>
      </c>
      <c r="F13" s="11" t="n">
        <v>0</v>
      </c>
      <c r="G13" s="11" t="n">
        <v>0</v>
      </c>
      <c r="H13" s="11" t="n">
        <v>0</v>
      </c>
      <c r="I13" s="10" t="n">
        <v>1</v>
      </c>
      <c r="J13" s="11" t="n">
        <v>0</v>
      </c>
      <c r="K13" s="10" t="n">
        <v>1</v>
      </c>
      <c r="L13" s="11" t="n">
        <v>0</v>
      </c>
      <c r="M13" s="11" t="n">
        <v>0</v>
      </c>
      <c r="N13" s="11" t="n">
        <v>0</v>
      </c>
      <c r="O13" s="10" t="n">
        <v>1</v>
      </c>
      <c r="P13" s="12" t="n">
        <f aca="false">SUM(D13:O13)</f>
        <v>3</v>
      </c>
      <c r="Q13" s="13" t="n">
        <f aca="false">P13/12</f>
        <v>0.25</v>
      </c>
    </row>
    <row r="14" customFormat="false" ht="15" hidden="false" customHeight="true" outlineLevel="0" collapsed="false">
      <c r="A14" s="7" t="s">
        <v>57</v>
      </c>
      <c r="B14" s="8" t="n">
        <v>11</v>
      </c>
      <c r="C14" s="9" t="s">
        <v>58</v>
      </c>
      <c r="D14" s="11" t="n">
        <v>0</v>
      </c>
      <c r="E14" s="10" t="n">
        <v>1</v>
      </c>
      <c r="F14" s="11" t="n">
        <v>0</v>
      </c>
      <c r="G14" s="11" t="n">
        <v>0</v>
      </c>
      <c r="H14" s="11" t="n">
        <v>0</v>
      </c>
      <c r="I14" s="11" t="n">
        <v>0</v>
      </c>
      <c r="J14" s="11" t="n">
        <v>0</v>
      </c>
      <c r="K14" s="10" t="n">
        <v>1</v>
      </c>
      <c r="L14" s="10" t="n">
        <v>1</v>
      </c>
      <c r="M14" s="11" t="n">
        <v>0</v>
      </c>
      <c r="N14" s="11" t="n">
        <v>0</v>
      </c>
      <c r="O14" s="11" t="n">
        <v>0</v>
      </c>
      <c r="P14" s="12" t="n">
        <f aca="false">SUM(D14:O14)</f>
        <v>3</v>
      </c>
      <c r="Q14" s="13" t="n">
        <f aca="false">P14/12</f>
        <v>0.25</v>
      </c>
    </row>
    <row r="15" customFormat="false" ht="15" hidden="false" customHeight="true" outlineLevel="0" collapsed="false">
      <c r="A15" s="14" t="s">
        <v>59</v>
      </c>
      <c r="B15" s="15" t="n">
        <v>12</v>
      </c>
      <c r="C15" s="16" t="s">
        <v>60</v>
      </c>
      <c r="D15" s="11" t="n">
        <v>0</v>
      </c>
      <c r="E15" s="10" t="n">
        <v>1</v>
      </c>
      <c r="F15" s="11" t="n">
        <v>0</v>
      </c>
      <c r="G15" s="11" t="n">
        <v>0</v>
      </c>
      <c r="H15" s="11" t="n">
        <v>0</v>
      </c>
      <c r="I15" s="11" t="n">
        <v>0</v>
      </c>
      <c r="J15" s="11" t="n">
        <v>0</v>
      </c>
      <c r="K15" s="11" t="n">
        <v>0</v>
      </c>
      <c r="L15" s="11" t="n">
        <v>0</v>
      </c>
      <c r="M15" s="11" t="n">
        <v>0</v>
      </c>
      <c r="N15" s="11" t="n">
        <v>0</v>
      </c>
      <c r="O15" s="11" t="n">
        <v>0</v>
      </c>
      <c r="P15" s="12" t="n">
        <f aca="false">SUM(D15:O15)</f>
        <v>1</v>
      </c>
      <c r="Q15" s="13" t="n">
        <f aca="false">P15/12</f>
        <v>0.0833333333333333</v>
      </c>
    </row>
    <row r="16" customFormat="false" ht="15" hidden="false" customHeight="true" outlineLevel="0" collapsed="false">
      <c r="A16" s="7" t="s">
        <v>61</v>
      </c>
      <c r="B16" s="8" t="n">
        <v>13</v>
      </c>
      <c r="C16" s="9" t="s">
        <v>62</v>
      </c>
      <c r="D16" s="11" t="n">
        <v>0</v>
      </c>
      <c r="E16" s="11" t="n">
        <v>0</v>
      </c>
      <c r="F16" s="11" t="n">
        <v>0</v>
      </c>
      <c r="G16" s="11" t="n">
        <v>0</v>
      </c>
      <c r="H16" s="11" t="n">
        <v>0</v>
      </c>
      <c r="I16" s="10" t="n">
        <v>1</v>
      </c>
      <c r="J16" s="11" t="n">
        <v>0</v>
      </c>
      <c r="K16" s="11" t="n">
        <v>0</v>
      </c>
      <c r="L16" s="11" t="n">
        <v>0</v>
      </c>
      <c r="M16" s="11" t="n">
        <v>0</v>
      </c>
      <c r="N16" s="11" t="n">
        <v>0</v>
      </c>
      <c r="O16" s="11" t="n">
        <v>0</v>
      </c>
      <c r="P16" s="12" t="n">
        <f aca="false">SUM(D16:O16)</f>
        <v>1</v>
      </c>
      <c r="Q16" s="13" t="n">
        <f aca="false">P16/12</f>
        <v>0.0833333333333333</v>
      </c>
    </row>
    <row r="17" customFormat="false" ht="15" hidden="false" customHeight="true" outlineLevel="0" collapsed="false">
      <c r="A17" s="14" t="s">
        <v>63</v>
      </c>
      <c r="B17" s="15" t="n">
        <v>14</v>
      </c>
      <c r="C17" s="16" t="s">
        <v>64</v>
      </c>
      <c r="D17" s="11" t="n">
        <v>0</v>
      </c>
      <c r="E17" s="11" t="n">
        <v>0</v>
      </c>
      <c r="F17" s="11" t="n">
        <v>0</v>
      </c>
      <c r="G17" s="10" t="n">
        <v>1</v>
      </c>
      <c r="H17" s="11" t="n">
        <v>0</v>
      </c>
      <c r="I17" s="11" t="n">
        <v>0</v>
      </c>
      <c r="J17" s="11" t="n">
        <v>0</v>
      </c>
      <c r="K17" s="11" t="n">
        <v>0</v>
      </c>
      <c r="L17" s="10" t="n">
        <v>1</v>
      </c>
      <c r="M17" s="11" t="n">
        <v>0</v>
      </c>
      <c r="N17" s="11" t="n">
        <v>0</v>
      </c>
      <c r="O17" s="11" t="n">
        <v>0</v>
      </c>
      <c r="P17" s="12" t="n">
        <f aca="false">SUM(D17:O17)</f>
        <v>2</v>
      </c>
      <c r="Q17" s="13" t="n">
        <f aca="false">P17/12</f>
        <v>0.166666666666667</v>
      </c>
    </row>
    <row r="18" customFormat="false" ht="84.75" hidden="false" customHeight="true" outlineLevel="0" collapsed="false">
      <c r="A18" s="20" t="s">
        <v>65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</row>
    <row r="19" customFormat="false" ht="15" hidden="false" customHeight="false" outlineLevel="0" collapsed="false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</row>
    <row r="20" customFormat="false" ht="15" hidden="false" customHeight="false" outlineLevel="0" collapsed="false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</row>
    <row r="21" customFormat="false" ht="15" hidden="false" customHeight="false" outlineLevel="0" collapsed="false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</row>
    <row r="22" customFormat="false" ht="15" hidden="false" customHeight="false" outlineLevel="0" collapsed="false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</row>
    <row r="23" customFormat="false" ht="15" hidden="false" customHeight="false" outlineLevel="0" collapsed="false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</row>
  </sheetData>
  <mergeCells count="5">
    <mergeCell ref="A1:Q1"/>
    <mergeCell ref="D2:F2"/>
    <mergeCell ref="G2:K2"/>
    <mergeCell ref="L2:O2"/>
    <mergeCell ref="A18:R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7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4"/>
    <col collapsed="false" customWidth="true" hidden="false" outlineLevel="0" max="4" min="4" style="0" width="9"/>
    <col collapsed="false" customWidth="true" hidden="false" outlineLevel="0" max="7" min="5" style="0" width="25"/>
    <col collapsed="false" customWidth="true" hidden="false" outlineLevel="0" max="8" min="8" style="0" width="8"/>
    <col collapsed="false" customWidth="true" hidden="false" outlineLevel="0" max="9" min="9" style="0" width="28"/>
    <col collapsed="false" customWidth="true" hidden="false" outlineLevel="0" max="15" min="10" style="0" width="13"/>
  </cols>
  <sheetData>
    <row r="1" customFormat="false" ht="21.75" hidden="false" customHeight="true" outlineLevel="0" collapsed="false">
      <c r="A1" s="22" t="s">
        <v>66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</row>
    <row r="3" customFormat="false" ht="15.75" hidden="false" customHeight="true" outlineLevel="0" collapsed="false">
      <c r="A3" s="23" t="s">
        <v>67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</row>
    <row r="4" customFormat="false" ht="15" hidden="false" customHeight="false" outlineLevel="0" collapsed="false">
      <c r="A4" s="24" t="s">
        <v>68</v>
      </c>
      <c r="B4" s="25" t="s">
        <v>7</v>
      </c>
      <c r="C4" s="25" t="s">
        <v>8</v>
      </c>
      <c r="D4" s="25" t="s">
        <v>9</v>
      </c>
      <c r="E4" s="25" t="s">
        <v>10</v>
      </c>
      <c r="F4" s="25" t="s">
        <v>11</v>
      </c>
      <c r="G4" s="25" t="s">
        <v>12</v>
      </c>
      <c r="H4" s="25" t="s">
        <v>13</v>
      </c>
      <c r="I4" s="25" t="s">
        <v>14</v>
      </c>
      <c r="J4" s="25" t="s">
        <v>15</v>
      </c>
      <c r="K4" s="25" t="s">
        <v>16</v>
      </c>
      <c r="L4" s="25" t="s">
        <v>17</v>
      </c>
      <c r="M4" s="25" t="s">
        <v>18</v>
      </c>
      <c r="N4" s="25" t="s">
        <v>19</v>
      </c>
      <c r="O4" s="25" t="s">
        <v>20</v>
      </c>
    </row>
    <row r="5" customFormat="false" ht="13.5" hidden="false" customHeight="true" outlineLevel="0" collapsed="false">
      <c r="A5" s="25" t="s">
        <v>7</v>
      </c>
      <c r="B5" s="26" t="n">
        <v>1</v>
      </c>
      <c r="C5" s="27" t="n">
        <v>0.5</v>
      </c>
      <c r="D5" s="27" t="n">
        <v>0.4</v>
      </c>
      <c r="E5" s="27" t="n">
        <v>0.5</v>
      </c>
      <c r="F5" s="28" t="n">
        <v>0.1429</v>
      </c>
      <c r="G5" s="27" t="n">
        <v>0.4</v>
      </c>
      <c r="H5" s="28" t="n">
        <v>0.1429</v>
      </c>
      <c r="I5" s="28" t="n">
        <v>0</v>
      </c>
      <c r="J5" s="28" t="n">
        <v>0</v>
      </c>
      <c r="K5" s="27" t="n">
        <v>0.3333</v>
      </c>
      <c r="L5" s="27" t="n">
        <v>0.3333</v>
      </c>
      <c r="M5" s="27" t="n">
        <v>0.4</v>
      </c>
      <c r="N5" s="28" t="n">
        <v>0</v>
      </c>
      <c r="O5" s="27" t="n">
        <v>0.5</v>
      </c>
    </row>
    <row r="6" customFormat="false" ht="13.5" hidden="false" customHeight="true" outlineLevel="0" collapsed="false">
      <c r="A6" s="25" t="s">
        <v>8</v>
      </c>
      <c r="B6" s="27" t="n">
        <v>0.5</v>
      </c>
      <c r="C6" s="26" t="n">
        <v>1</v>
      </c>
      <c r="D6" s="27" t="n">
        <v>0.5</v>
      </c>
      <c r="E6" s="27" t="n">
        <v>0.3333</v>
      </c>
      <c r="F6" s="28" t="n">
        <v>0.1667</v>
      </c>
      <c r="G6" s="27" t="n">
        <v>0.5</v>
      </c>
      <c r="H6" s="28" t="n">
        <v>0.1667</v>
      </c>
      <c r="I6" s="28" t="n">
        <v>0</v>
      </c>
      <c r="J6" s="28" t="n">
        <v>0</v>
      </c>
      <c r="K6" s="28" t="n">
        <v>0.1667</v>
      </c>
      <c r="L6" s="27" t="n">
        <v>0.4</v>
      </c>
      <c r="M6" s="27" t="n">
        <v>0.5</v>
      </c>
      <c r="N6" s="27" t="n">
        <v>0.25</v>
      </c>
      <c r="O6" s="27" t="n">
        <v>0.3333</v>
      </c>
    </row>
    <row r="7" customFormat="false" ht="13.5" hidden="false" customHeight="true" outlineLevel="0" collapsed="false">
      <c r="A7" s="25" t="s">
        <v>9</v>
      </c>
      <c r="B7" s="27" t="n">
        <v>0.4</v>
      </c>
      <c r="C7" s="27" t="n">
        <v>0.5</v>
      </c>
      <c r="D7" s="26" t="n">
        <v>1</v>
      </c>
      <c r="E7" s="28" t="n">
        <v>0.2</v>
      </c>
      <c r="F7" s="27" t="n">
        <v>0.25</v>
      </c>
      <c r="G7" s="29" t="n">
        <v>1</v>
      </c>
      <c r="H7" s="27" t="n">
        <v>0.25</v>
      </c>
      <c r="I7" s="28" t="n">
        <v>0</v>
      </c>
      <c r="J7" s="28" t="n">
        <v>0</v>
      </c>
      <c r="K7" s="27" t="n">
        <v>0.25</v>
      </c>
      <c r="L7" s="27" t="n">
        <v>0.25</v>
      </c>
      <c r="M7" s="29" t="n">
        <v>1</v>
      </c>
      <c r="N7" s="28" t="n">
        <v>0</v>
      </c>
      <c r="O7" s="28" t="n">
        <v>0.2</v>
      </c>
    </row>
    <row r="8" customFormat="false" ht="13.5" hidden="false" customHeight="true" outlineLevel="0" collapsed="false">
      <c r="A8" s="25" t="s">
        <v>10</v>
      </c>
      <c r="B8" s="27" t="n">
        <v>0.5</v>
      </c>
      <c r="C8" s="27" t="n">
        <v>0.3333</v>
      </c>
      <c r="D8" s="28" t="n">
        <v>0.2</v>
      </c>
      <c r="E8" s="26" t="n">
        <v>1</v>
      </c>
      <c r="F8" s="28" t="n">
        <v>0.1667</v>
      </c>
      <c r="G8" s="28" t="n">
        <v>0.2</v>
      </c>
      <c r="H8" s="28" t="n">
        <v>0.1667</v>
      </c>
      <c r="I8" s="28" t="n">
        <v>0</v>
      </c>
      <c r="J8" s="28" t="n">
        <v>0</v>
      </c>
      <c r="K8" s="28" t="n">
        <v>0.1667</v>
      </c>
      <c r="L8" s="28" t="n">
        <v>0.1667</v>
      </c>
      <c r="M8" s="28" t="n">
        <v>0.2</v>
      </c>
      <c r="N8" s="27" t="n">
        <v>0.25</v>
      </c>
      <c r="O8" s="27" t="n">
        <v>0.3333</v>
      </c>
    </row>
    <row r="9" customFormat="false" ht="13.5" hidden="false" customHeight="true" outlineLevel="0" collapsed="false">
      <c r="A9" s="25" t="s">
        <v>11</v>
      </c>
      <c r="B9" s="28" t="n">
        <v>0.1429</v>
      </c>
      <c r="C9" s="28" t="n">
        <v>0.1667</v>
      </c>
      <c r="D9" s="27" t="n">
        <v>0.25</v>
      </c>
      <c r="E9" s="28" t="n">
        <v>0.1667</v>
      </c>
      <c r="F9" s="26" t="n">
        <v>1</v>
      </c>
      <c r="G9" s="27" t="n">
        <v>0.25</v>
      </c>
      <c r="H9" s="27" t="n">
        <v>0.5</v>
      </c>
      <c r="I9" s="28" t="n">
        <v>0</v>
      </c>
      <c r="J9" s="28" t="n">
        <v>0</v>
      </c>
      <c r="K9" s="28" t="n">
        <v>0</v>
      </c>
      <c r="L9" s="27" t="n">
        <v>0.5</v>
      </c>
      <c r="M9" s="27" t="n">
        <v>0.25</v>
      </c>
      <c r="N9" s="28" t="n">
        <v>0</v>
      </c>
      <c r="O9" s="27" t="n">
        <v>0.4</v>
      </c>
    </row>
    <row r="10" customFormat="false" ht="13.5" hidden="false" customHeight="true" outlineLevel="0" collapsed="false">
      <c r="A10" s="25" t="s">
        <v>12</v>
      </c>
      <c r="B10" s="27" t="n">
        <v>0.4</v>
      </c>
      <c r="C10" s="27" t="n">
        <v>0.5</v>
      </c>
      <c r="D10" s="29" t="n">
        <v>1</v>
      </c>
      <c r="E10" s="28" t="n">
        <v>0.2</v>
      </c>
      <c r="F10" s="27" t="n">
        <v>0.25</v>
      </c>
      <c r="G10" s="26" t="n">
        <v>1</v>
      </c>
      <c r="H10" s="27" t="n">
        <v>0.25</v>
      </c>
      <c r="I10" s="28" t="n">
        <v>0</v>
      </c>
      <c r="J10" s="28" t="n">
        <v>0</v>
      </c>
      <c r="K10" s="27" t="n">
        <v>0.25</v>
      </c>
      <c r="L10" s="27" t="n">
        <v>0.25</v>
      </c>
      <c r="M10" s="29" t="n">
        <v>1</v>
      </c>
      <c r="N10" s="28" t="n">
        <v>0</v>
      </c>
      <c r="O10" s="28" t="n">
        <v>0.2</v>
      </c>
    </row>
    <row r="11" customFormat="false" ht="13.5" hidden="false" customHeight="true" outlineLevel="0" collapsed="false">
      <c r="A11" s="25" t="s">
        <v>13</v>
      </c>
      <c r="B11" s="28" t="n">
        <v>0.1429</v>
      </c>
      <c r="C11" s="28" t="n">
        <v>0.1667</v>
      </c>
      <c r="D11" s="27" t="n">
        <v>0.25</v>
      </c>
      <c r="E11" s="28" t="n">
        <v>0.1667</v>
      </c>
      <c r="F11" s="27" t="n">
        <v>0.5</v>
      </c>
      <c r="G11" s="27" t="n">
        <v>0.25</v>
      </c>
      <c r="H11" s="26" t="n">
        <v>1</v>
      </c>
      <c r="I11" s="28" t="n">
        <v>0</v>
      </c>
      <c r="J11" s="28" t="n">
        <v>0</v>
      </c>
      <c r="K11" s="28" t="n">
        <v>0.2</v>
      </c>
      <c r="L11" s="27" t="n">
        <v>0.5</v>
      </c>
      <c r="M11" s="27" t="n">
        <v>0.25</v>
      </c>
      <c r="N11" s="28" t="n">
        <v>0</v>
      </c>
      <c r="O11" s="27" t="n">
        <v>0.4</v>
      </c>
    </row>
    <row r="12" customFormat="false" ht="13.5" hidden="false" customHeight="true" outlineLevel="0" collapsed="false">
      <c r="A12" s="25" t="s">
        <v>14</v>
      </c>
      <c r="B12" s="28" t="n">
        <v>0</v>
      </c>
      <c r="C12" s="28" t="n">
        <v>0</v>
      </c>
      <c r="D12" s="28" t="n">
        <v>0</v>
      </c>
      <c r="E12" s="28" t="n">
        <v>0</v>
      </c>
      <c r="F12" s="28" t="n">
        <v>0</v>
      </c>
      <c r="G12" s="28" t="n">
        <v>0</v>
      </c>
      <c r="H12" s="28" t="n">
        <v>0</v>
      </c>
      <c r="I12" s="26" t="n">
        <v>1</v>
      </c>
      <c r="J12" s="29" t="n">
        <v>1</v>
      </c>
      <c r="K12" s="28" t="n">
        <v>0</v>
      </c>
      <c r="L12" s="28" t="n">
        <v>0</v>
      </c>
      <c r="M12" s="28" t="n">
        <v>0</v>
      </c>
      <c r="N12" s="28" t="n">
        <v>0</v>
      </c>
      <c r="O12" s="28" t="n">
        <v>0</v>
      </c>
    </row>
    <row r="13" customFormat="false" ht="13.5" hidden="false" customHeight="true" outlineLevel="0" collapsed="false">
      <c r="A13" s="25" t="s">
        <v>15</v>
      </c>
      <c r="B13" s="28" t="n">
        <v>0</v>
      </c>
      <c r="C13" s="28" t="n">
        <v>0</v>
      </c>
      <c r="D13" s="28" t="n">
        <v>0</v>
      </c>
      <c r="E13" s="28" t="n">
        <v>0</v>
      </c>
      <c r="F13" s="28" t="n">
        <v>0</v>
      </c>
      <c r="G13" s="28" t="n">
        <v>0</v>
      </c>
      <c r="H13" s="28" t="n">
        <v>0</v>
      </c>
      <c r="I13" s="29" t="n">
        <v>1</v>
      </c>
      <c r="J13" s="26" t="n">
        <v>1</v>
      </c>
      <c r="K13" s="28" t="n">
        <v>0</v>
      </c>
      <c r="L13" s="28" t="n">
        <v>0</v>
      </c>
      <c r="M13" s="28" t="n">
        <v>0</v>
      </c>
      <c r="N13" s="28" t="n">
        <v>0</v>
      </c>
      <c r="O13" s="28" t="n">
        <v>0</v>
      </c>
    </row>
    <row r="14" customFormat="false" ht="13.5" hidden="false" customHeight="true" outlineLevel="0" collapsed="false">
      <c r="A14" s="25" t="s">
        <v>16</v>
      </c>
      <c r="B14" s="27" t="n">
        <v>0.3333</v>
      </c>
      <c r="C14" s="28" t="n">
        <v>0.1667</v>
      </c>
      <c r="D14" s="27" t="n">
        <v>0.25</v>
      </c>
      <c r="E14" s="28" t="n">
        <v>0.1667</v>
      </c>
      <c r="F14" s="28" t="n">
        <v>0</v>
      </c>
      <c r="G14" s="27" t="n">
        <v>0.25</v>
      </c>
      <c r="H14" s="28" t="n">
        <v>0.2</v>
      </c>
      <c r="I14" s="28" t="n">
        <v>0</v>
      </c>
      <c r="J14" s="28" t="n">
        <v>0</v>
      </c>
      <c r="K14" s="26" t="n">
        <v>1</v>
      </c>
      <c r="L14" s="28" t="n">
        <v>0</v>
      </c>
      <c r="M14" s="27" t="n">
        <v>0.25</v>
      </c>
      <c r="N14" s="28" t="n">
        <v>0</v>
      </c>
      <c r="O14" s="28" t="n">
        <v>0</v>
      </c>
    </row>
    <row r="15" customFormat="false" ht="13.5" hidden="false" customHeight="true" outlineLevel="0" collapsed="false">
      <c r="A15" s="25" t="s">
        <v>17</v>
      </c>
      <c r="B15" s="27" t="n">
        <v>0.3333</v>
      </c>
      <c r="C15" s="27" t="n">
        <v>0.4</v>
      </c>
      <c r="D15" s="27" t="n">
        <v>0.25</v>
      </c>
      <c r="E15" s="28" t="n">
        <v>0.1667</v>
      </c>
      <c r="F15" s="27" t="n">
        <v>0.5</v>
      </c>
      <c r="G15" s="27" t="n">
        <v>0.25</v>
      </c>
      <c r="H15" s="27" t="n">
        <v>0.5</v>
      </c>
      <c r="I15" s="28" t="n">
        <v>0</v>
      </c>
      <c r="J15" s="28" t="n">
        <v>0</v>
      </c>
      <c r="K15" s="28" t="n">
        <v>0</v>
      </c>
      <c r="L15" s="26" t="n">
        <v>1</v>
      </c>
      <c r="M15" s="27" t="n">
        <v>0.25</v>
      </c>
      <c r="N15" s="28" t="n">
        <v>0</v>
      </c>
      <c r="O15" s="30" t="n">
        <v>0.75</v>
      </c>
    </row>
    <row r="16" customFormat="false" ht="13.5" hidden="false" customHeight="true" outlineLevel="0" collapsed="false">
      <c r="A16" s="25" t="s">
        <v>18</v>
      </c>
      <c r="B16" s="27" t="n">
        <v>0.4</v>
      </c>
      <c r="C16" s="27" t="n">
        <v>0.5</v>
      </c>
      <c r="D16" s="29" t="n">
        <v>1</v>
      </c>
      <c r="E16" s="28" t="n">
        <v>0.2</v>
      </c>
      <c r="F16" s="27" t="n">
        <v>0.25</v>
      </c>
      <c r="G16" s="29" t="n">
        <v>1</v>
      </c>
      <c r="H16" s="27" t="n">
        <v>0.25</v>
      </c>
      <c r="I16" s="28" t="n">
        <v>0</v>
      </c>
      <c r="J16" s="28" t="n">
        <v>0</v>
      </c>
      <c r="K16" s="27" t="n">
        <v>0.25</v>
      </c>
      <c r="L16" s="27" t="n">
        <v>0.25</v>
      </c>
      <c r="M16" s="26" t="n">
        <v>1</v>
      </c>
      <c r="N16" s="28" t="n">
        <v>0</v>
      </c>
      <c r="O16" s="28" t="n">
        <v>0.2</v>
      </c>
    </row>
    <row r="17" customFormat="false" ht="13.5" hidden="false" customHeight="true" outlineLevel="0" collapsed="false">
      <c r="A17" s="25" t="s">
        <v>19</v>
      </c>
      <c r="B17" s="28" t="n">
        <v>0</v>
      </c>
      <c r="C17" s="27" t="n">
        <v>0.25</v>
      </c>
      <c r="D17" s="28" t="n">
        <v>0</v>
      </c>
      <c r="E17" s="27" t="n">
        <v>0.25</v>
      </c>
      <c r="F17" s="28" t="n">
        <v>0</v>
      </c>
      <c r="G17" s="28" t="n">
        <v>0</v>
      </c>
      <c r="H17" s="28" t="n">
        <v>0</v>
      </c>
      <c r="I17" s="28" t="n">
        <v>0</v>
      </c>
      <c r="J17" s="28" t="n">
        <v>0</v>
      </c>
      <c r="K17" s="28" t="n">
        <v>0</v>
      </c>
      <c r="L17" s="28" t="n">
        <v>0</v>
      </c>
      <c r="M17" s="28" t="n">
        <v>0</v>
      </c>
      <c r="N17" s="26" t="n">
        <v>1</v>
      </c>
      <c r="O17" s="28" t="n">
        <v>0</v>
      </c>
    </row>
    <row r="18" customFormat="false" ht="13.5" hidden="false" customHeight="true" outlineLevel="0" collapsed="false">
      <c r="A18" s="25" t="s">
        <v>20</v>
      </c>
      <c r="B18" s="27" t="n">
        <v>0.5</v>
      </c>
      <c r="C18" s="27" t="n">
        <v>0.3333</v>
      </c>
      <c r="D18" s="28" t="n">
        <v>0.2</v>
      </c>
      <c r="E18" s="27" t="n">
        <v>0.3333</v>
      </c>
      <c r="F18" s="27" t="n">
        <v>0.4</v>
      </c>
      <c r="G18" s="28" t="n">
        <v>0.2</v>
      </c>
      <c r="H18" s="27" t="n">
        <v>0.4</v>
      </c>
      <c r="I18" s="28" t="n">
        <v>0</v>
      </c>
      <c r="J18" s="28" t="n">
        <v>0</v>
      </c>
      <c r="K18" s="28" t="n">
        <v>0</v>
      </c>
      <c r="L18" s="30" t="n">
        <v>0.75</v>
      </c>
      <c r="M18" s="28" t="n">
        <v>0.2</v>
      </c>
      <c r="N18" s="28" t="n">
        <v>0</v>
      </c>
      <c r="O18" s="26" t="n">
        <v>1</v>
      </c>
    </row>
    <row r="21" customFormat="false" ht="15.75" hidden="false" customHeight="true" outlineLevel="0" collapsed="false">
      <c r="A21" s="31" t="s">
        <v>69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</row>
    <row r="22" customFormat="false" ht="15" hidden="false" customHeight="false" outlineLevel="0" collapsed="false">
      <c r="A22" s="19" t="s">
        <v>68</v>
      </c>
      <c r="B22" s="32" t="s">
        <v>44</v>
      </c>
      <c r="C22" s="32" t="s">
        <v>7</v>
      </c>
      <c r="D22" s="32" t="s">
        <v>10</v>
      </c>
      <c r="E22" s="32" t="s">
        <v>14</v>
      </c>
      <c r="F22" s="32" t="s">
        <v>45</v>
      </c>
      <c r="G22" s="32" t="s">
        <v>11</v>
      </c>
      <c r="H22" s="32" t="s">
        <v>15</v>
      </c>
      <c r="I22" s="32" t="s">
        <v>13</v>
      </c>
      <c r="J22" s="32" t="s">
        <v>19</v>
      </c>
      <c r="K22" s="32" t="s">
        <v>16</v>
      </c>
      <c r="L22" s="32" t="s">
        <v>17</v>
      </c>
      <c r="M22" s="32" t="s">
        <v>20</v>
      </c>
    </row>
    <row r="23" customFormat="false" ht="13.5" hidden="false" customHeight="true" outlineLevel="0" collapsed="false">
      <c r="A23" s="32" t="s">
        <v>44</v>
      </c>
      <c r="B23" s="26" t="n">
        <v>1</v>
      </c>
      <c r="C23" s="28" t="n">
        <v>0.1</v>
      </c>
      <c r="D23" s="27" t="n">
        <v>0.25</v>
      </c>
      <c r="E23" s="28" t="n">
        <v>0.2222</v>
      </c>
      <c r="F23" s="29" t="n">
        <v>1</v>
      </c>
      <c r="G23" s="28" t="n">
        <v>0.1111</v>
      </c>
      <c r="H23" s="28" t="n">
        <v>0</v>
      </c>
      <c r="I23" s="27" t="n">
        <v>0.4444</v>
      </c>
      <c r="J23" s="28" t="n">
        <v>0.1111</v>
      </c>
      <c r="K23" s="28" t="n">
        <v>0.125</v>
      </c>
      <c r="L23" s="30" t="n">
        <v>0.625</v>
      </c>
      <c r="M23" s="27" t="n">
        <v>0.3333</v>
      </c>
    </row>
    <row r="24" customFormat="false" ht="13.5" hidden="false" customHeight="true" outlineLevel="0" collapsed="false">
      <c r="A24" s="32" t="s">
        <v>7</v>
      </c>
      <c r="B24" s="28" t="n">
        <v>0.1</v>
      </c>
      <c r="C24" s="26" t="n">
        <v>1</v>
      </c>
      <c r="D24" s="28" t="n">
        <v>0.1667</v>
      </c>
      <c r="E24" s="28" t="n">
        <v>0.1429</v>
      </c>
      <c r="F24" s="28" t="n">
        <v>0.1</v>
      </c>
      <c r="G24" s="28" t="n">
        <v>0.1667</v>
      </c>
      <c r="H24" s="28" t="n">
        <v>0</v>
      </c>
      <c r="I24" s="27" t="n">
        <v>0.25</v>
      </c>
      <c r="J24" s="27" t="n">
        <v>0.4</v>
      </c>
      <c r="K24" s="27" t="n">
        <v>0.5</v>
      </c>
      <c r="L24" s="28" t="n">
        <v>0.1111</v>
      </c>
      <c r="M24" s="28" t="n">
        <v>0.125</v>
      </c>
    </row>
    <row r="25" customFormat="false" ht="13.5" hidden="false" customHeight="true" outlineLevel="0" collapsed="false">
      <c r="A25" s="32" t="s">
        <v>10</v>
      </c>
      <c r="B25" s="27" t="n">
        <v>0.25</v>
      </c>
      <c r="C25" s="28" t="n">
        <v>0.1667</v>
      </c>
      <c r="D25" s="26" t="n">
        <v>1</v>
      </c>
      <c r="E25" s="27" t="n">
        <v>0.4</v>
      </c>
      <c r="F25" s="27" t="n">
        <v>0.25</v>
      </c>
      <c r="G25" s="28" t="n">
        <v>0.2</v>
      </c>
      <c r="H25" s="28" t="n">
        <v>0</v>
      </c>
      <c r="I25" s="27" t="n">
        <v>0.2857</v>
      </c>
      <c r="J25" s="28" t="n">
        <v>0.2</v>
      </c>
      <c r="K25" s="27" t="n">
        <v>0.25</v>
      </c>
      <c r="L25" s="27" t="n">
        <v>0.2857</v>
      </c>
      <c r="M25" s="30" t="n">
        <v>0.6</v>
      </c>
    </row>
    <row r="26" customFormat="false" ht="13.5" hidden="false" customHeight="true" outlineLevel="0" collapsed="false">
      <c r="A26" s="32" t="s">
        <v>14</v>
      </c>
      <c r="B26" s="28" t="n">
        <v>0.2222</v>
      </c>
      <c r="C26" s="28" t="n">
        <v>0.1429</v>
      </c>
      <c r="D26" s="27" t="n">
        <v>0.4</v>
      </c>
      <c r="E26" s="26" t="n">
        <v>1</v>
      </c>
      <c r="F26" s="28" t="n">
        <v>0.2222</v>
      </c>
      <c r="G26" s="28" t="n">
        <v>0.1667</v>
      </c>
      <c r="H26" s="28" t="n">
        <v>0</v>
      </c>
      <c r="I26" s="28" t="n">
        <v>0.1111</v>
      </c>
      <c r="J26" s="27" t="n">
        <v>0.4</v>
      </c>
      <c r="K26" s="28" t="n">
        <v>0.2</v>
      </c>
      <c r="L26" s="27" t="n">
        <v>0.4286</v>
      </c>
      <c r="M26" s="27" t="n">
        <v>0.2857</v>
      </c>
    </row>
    <row r="27" customFormat="false" ht="13.5" hidden="false" customHeight="true" outlineLevel="0" collapsed="false">
      <c r="A27" s="32" t="s">
        <v>45</v>
      </c>
      <c r="B27" s="29" t="n">
        <v>1</v>
      </c>
      <c r="C27" s="28" t="n">
        <v>0.1</v>
      </c>
      <c r="D27" s="27" t="n">
        <v>0.25</v>
      </c>
      <c r="E27" s="28" t="n">
        <v>0.2222</v>
      </c>
      <c r="F27" s="26" t="n">
        <v>1</v>
      </c>
      <c r="G27" s="28" t="n">
        <v>0.1111</v>
      </c>
      <c r="H27" s="28" t="n">
        <v>0</v>
      </c>
      <c r="I27" s="27" t="n">
        <v>0.4444</v>
      </c>
      <c r="J27" s="28" t="n">
        <v>0.1111</v>
      </c>
      <c r="K27" s="28" t="n">
        <v>0.125</v>
      </c>
      <c r="L27" s="30" t="n">
        <v>0.625</v>
      </c>
      <c r="M27" s="27" t="n">
        <v>0.3333</v>
      </c>
    </row>
    <row r="28" customFormat="false" ht="13.5" hidden="false" customHeight="true" outlineLevel="0" collapsed="false">
      <c r="A28" s="32" t="s">
        <v>11</v>
      </c>
      <c r="B28" s="28" t="n">
        <v>0.1111</v>
      </c>
      <c r="C28" s="28" t="n">
        <v>0.1667</v>
      </c>
      <c r="D28" s="28" t="n">
        <v>0.2</v>
      </c>
      <c r="E28" s="28" t="n">
        <v>0.1667</v>
      </c>
      <c r="F28" s="28" t="n">
        <v>0.1111</v>
      </c>
      <c r="G28" s="26" t="n">
        <v>1</v>
      </c>
      <c r="H28" s="28" t="n">
        <v>0</v>
      </c>
      <c r="I28" s="27" t="n">
        <v>0.2857</v>
      </c>
      <c r="J28" s="28" t="n">
        <v>0.2</v>
      </c>
      <c r="K28" s="27" t="n">
        <v>0.25</v>
      </c>
      <c r="L28" s="28" t="n">
        <v>0.125</v>
      </c>
      <c r="M28" s="27" t="n">
        <v>0.3333</v>
      </c>
    </row>
    <row r="29" customFormat="false" ht="13.5" hidden="false" customHeight="true" outlineLevel="0" collapsed="false">
      <c r="A29" s="32" t="s">
        <v>15</v>
      </c>
      <c r="B29" s="28" t="n">
        <v>0</v>
      </c>
      <c r="C29" s="28" t="n">
        <v>0</v>
      </c>
      <c r="D29" s="28" t="n">
        <v>0</v>
      </c>
      <c r="E29" s="28" t="n">
        <v>0</v>
      </c>
      <c r="F29" s="28" t="n">
        <v>0</v>
      </c>
      <c r="G29" s="28" t="n">
        <v>0</v>
      </c>
      <c r="H29" s="26" t="n">
        <v>1</v>
      </c>
      <c r="I29" s="28" t="n">
        <v>0</v>
      </c>
      <c r="J29" s="28" t="n">
        <v>0</v>
      </c>
      <c r="K29" s="28" t="n">
        <v>0</v>
      </c>
      <c r="L29" s="28" t="n">
        <v>0</v>
      </c>
      <c r="M29" s="28" t="n">
        <v>0</v>
      </c>
    </row>
    <row r="30" customFormat="false" ht="13.5" hidden="false" customHeight="true" outlineLevel="0" collapsed="false">
      <c r="A30" s="32" t="s">
        <v>13</v>
      </c>
      <c r="B30" s="27" t="n">
        <v>0.4444</v>
      </c>
      <c r="C30" s="27" t="n">
        <v>0.25</v>
      </c>
      <c r="D30" s="27" t="n">
        <v>0.2857</v>
      </c>
      <c r="E30" s="28" t="n">
        <v>0.1111</v>
      </c>
      <c r="F30" s="27" t="n">
        <v>0.4444</v>
      </c>
      <c r="G30" s="27" t="n">
        <v>0.2857</v>
      </c>
      <c r="H30" s="28" t="n">
        <v>0</v>
      </c>
      <c r="I30" s="26" t="n">
        <v>1</v>
      </c>
      <c r="J30" s="27" t="n">
        <v>0.2857</v>
      </c>
      <c r="K30" s="28" t="n">
        <v>0.1429</v>
      </c>
      <c r="L30" s="27" t="n">
        <v>0.3333</v>
      </c>
      <c r="M30" s="27" t="n">
        <v>0.5714</v>
      </c>
    </row>
    <row r="31" customFormat="false" ht="13.5" hidden="false" customHeight="true" outlineLevel="0" collapsed="false">
      <c r="A31" s="32" t="s">
        <v>19</v>
      </c>
      <c r="B31" s="28" t="n">
        <v>0.1111</v>
      </c>
      <c r="C31" s="27" t="n">
        <v>0.4</v>
      </c>
      <c r="D31" s="28" t="n">
        <v>0.2</v>
      </c>
      <c r="E31" s="27" t="n">
        <v>0.4</v>
      </c>
      <c r="F31" s="28" t="n">
        <v>0.1111</v>
      </c>
      <c r="G31" s="28" t="n">
        <v>0.2</v>
      </c>
      <c r="H31" s="28" t="n">
        <v>0</v>
      </c>
      <c r="I31" s="27" t="n">
        <v>0.2857</v>
      </c>
      <c r="J31" s="26" t="n">
        <v>1</v>
      </c>
      <c r="K31" s="27" t="n">
        <v>0.25</v>
      </c>
      <c r="L31" s="28" t="n">
        <v>0.125</v>
      </c>
      <c r="M31" s="28" t="n">
        <v>0.1429</v>
      </c>
    </row>
    <row r="32" customFormat="false" ht="13.5" hidden="false" customHeight="true" outlineLevel="0" collapsed="false">
      <c r="A32" s="32" t="s">
        <v>16</v>
      </c>
      <c r="B32" s="28" t="n">
        <v>0.125</v>
      </c>
      <c r="C32" s="27" t="n">
        <v>0.5</v>
      </c>
      <c r="D32" s="27" t="n">
        <v>0.25</v>
      </c>
      <c r="E32" s="28" t="n">
        <v>0.2</v>
      </c>
      <c r="F32" s="28" t="n">
        <v>0.125</v>
      </c>
      <c r="G32" s="27" t="n">
        <v>0.25</v>
      </c>
      <c r="H32" s="28" t="n">
        <v>0</v>
      </c>
      <c r="I32" s="28" t="n">
        <v>0.1429</v>
      </c>
      <c r="J32" s="27" t="n">
        <v>0.25</v>
      </c>
      <c r="K32" s="26" t="n">
        <v>1</v>
      </c>
      <c r="L32" s="28" t="n">
        <v>0.1429</v>
      </c>
      <c r="M32" s="28" t="n">
        <v>0.1667</v>
      </c>
    </row>
    <row r="33" customFormat="false" ht="13.5" hidden="false" customHeight="true" outlineLevel="0" collapsed="false">
      <c r="A33" s="32" t="s">
        <v>17</v>
      </c>
      <c r="B33" s="30" t="n">
        <v>0.625</v>
      </c>
      <c r="C33" s="28" t="n">
        <v>0.1111</v>
      </c>
      <c r="D33" s="27" t="n">
        <v>0.2857</v>
      </c>
      <c r="E33" s="27" t="n">
        <v>0.4286</v>
      </c>
      <c r="F33" s="30" t="n">
        <v>0.625</v>
      </c>
      <c r="G33" s="28" t="n">
        <v>0.125</v>
      </c>
      <c r="H33" s="28" t="n">
        <v>0</v>
      </c>
      <c r="I33" s="27" t="n">
        <v>0.3333</v>
      </c>
      <c r="J33" s="28" t="n">
        <v>0.125</v>
      </c>
      <c r="K33" s="28" t="n">
        <v>0.1429</v>
      </c>
      <c r="L33" s="26" t="n">
        <v>1</v>
      </c>
      <c r="M33" s="27" t="n">
        <v>0.375</v>
      </c>
    </row>
    <row r="34" customFormat="false" ht="13.5" hidden="false" customHeight="true" outlineLevel="0" collapsed="false">
      <c r="A34" s="32" t="s">
        <v>20</v>
      </c>
      <c r="B34" s="27" t="n">
        <v>0.3333</v>
      </c>
      <c r="C34" s="28" t="n">
        <v>0.125</v>
      </c>
      <c r="D34" s="30" t="n">
        <v>0.6</v>
      </c>
      <c r="E34" s="27" t="n">
        <v>0.2857</v>
      </c>
      <c r="F34" s="27" t="n">
        <v>0.3333</v>
      </c>
      <c r="G34" s="27" t="n">
        <v>0.3333</v>
      </c>
      <c r="H34" s="28" t="n">
        <v>0</v>
      </c>
      <c r="I34" s="27" t="n">
        <v>0.5714</v>
      </c>
      <c r="J34" s="28" t="n">
        <v>0.1429</v>
      </c>
      <c r="K34" s="28" t="n">
        <v>0.1667</v>
      </c>
      <c r="L34" s="27" t="n">
        <v>0.375</v>
      </c>
      <c r="M34" s="26" t="n">
        <v>1</v>
      </c>
    </row>
    <row r="37" customFormat="false" ht="15" hidden="false" customHeight="false" outlineLevel="0" collapsed="false">
      <c r="A37" s="0" t="s">
        <v>70</v>
      </c>
    </row>
    <row r="38" customFormat="false" ht="15" hidden="false" customHeight="false" outlineLevel="0" collapsed="false">
      <c r="A38" s="33" t="s">
        <v>71</v>
      </c>
      <c r="B38" s="33"/>
      <c r="C38" s="33"/>
      <c r="D38" s="33"/>
      <c r="E38" s="33"/>
      <c r="F38" s="33"/>
      <c r="G38" s="33"/>
      <c r="H38" s="33"/>
      <c r="I38" s="33"/>
    </row>
    <row r="39" customFormat="false" ht="13.5" hidden="false" customHeight="true" outlineLevel="0" collapsed="false">
      <c r="A39" s="34" t="s">
        <v>72</v>
      </c>
      <c r="B39" s="34" t="s">
        <v>73</v>
      </c>
      <c r="C39" s="34" t="s">
        <v>74</v>
      </c>
      <c r="D39" s="34" t="s">
        <v>75</v>
      </c>
      <c r="E39" s="34" t="s">
        <v>76</v>
      </c>
      <c r="F39" s="34" t="s">
        <v>77</v>
      </c>
      <c r="G39" s="34" t="s">
        <v>78</v>
      </c>
      <c r="H39" s="34" t="s">
        <v>79</v>
      </c>
      <c r="I39" s="34" t="s">
        <v>80</v>
      </c>
    </row>
    <row r="40" customFormat="false" ht="13.5" hidden="false" customHeight="true" outlineLevel="0" collapsed="false">
      <c r="A40" s="35" t="s">
        <v>81</v>
      </c>
      <c r="B40" s="35" t="s">
        <v>9</v>
      </c>
      <c r="C40" s="35" t="s">
        <v>12</v>
      </c>
      <c r="D40" s="36" t="n">
        <v>1</v>
      </c>
      <c r="E40" s="37" t="s">
        <v>82</v>
      </c>
      <c r="F40" s="37" t="s">
        <v>83</v>
      </c>
      <c r="G40" s="37" t="s">
        <v>83</v>
      </c>
      <c r="H40" s="35" t="n">
        <v>2</v>
      </c>
      <c r="I40" s="37" t="s">
        <v>84</v>
      </c>
    </row>
    <row r="41" customFormat="false" ht="13.5" hidden="false" customHeight="true" outlineLevel="0" collapsed="false">
      <c r="A41" s="35" t="s">
        <v>81</v>
      </c>
      <c r="B41" s="35" t="s">
        <v>9</v>
      </c>
      <c r="C41" s="35" t="s">
        <v>18</v>
      </c>
      <c r="D41" s="36" t="n">
        <v>1</v>
      </c>
      <c r="E41" s="37" t="s">
        <v>82</v>
      </c>
      <c r="F41" s="37" t="s">
        <v>83</v>
      </c>
      <c r="G41" s="37" t="s">
        <v>83</v>
      </c>
      <c r="H41" s="35" t="n">
        <v>2</v>
      </c>
      <c r="I41" s="37" t="s">
        <v>84</v>
      </c>
    </row>
    <row r="42" customFormat="false" ht="13.5" hidden="false" customHeight="true" outlineLevel="0" collapsed="false">
      <c r="A42" s="35" t="s">
        <v>81</v>
      </c>
      <c r="B42" s="35" t="s">
        <v>12</v>
      </c>
      <c r="C42" s="35" t="s">
        <v>18</v>
      </c>
      <c r="D42" s="36" t="n">
        <v>1</v>
      </c>
      <c r="E42" s="37" t="s">
        <v>82</v>
      </c>
      <c r="F42" s="37" t="s">
        <v>83</v>
      </c>
      <c r="G42" s="37" t="s">
        <v>83</v>
      </c>
      <c r="H42" s="35" t="n">
        <v>2</v>
      </c>
      <c r="I42" s="37" t="s">
        <v>84</v>
      </c>
    </row>
    <row r="43" customFormat="false" ht="12.75" hidden="false" customHeight="true" outlineLevel="0" collapsed="false">
      <c r="A43" s="38" t="s">
        <v>85</v>
      </c>
      <c r="D43" s="39" t="n">
        <v>1</v>
      </c>
    </row>
    <row r="45" customFormat="false" ht="13.5" hidden="false" customHeight="true" outlineLevel="0" collapsed="false">
      <c r="A45" s="40" t="s">
        <v>86</v>
      </c>
      <c r="B45" s="40" t="s">
        <v>7</v>
      </c>
      <c r="C45" s="40" t="s">
        <v>11</v>
      </c>
      <c r="D45" s="27" t="n">
        <v>0.1429</v>
      </c>
      <c r="E45" s="41" t="s">
        <v>23</v>
      </c>
      <c r="F45" s="41" t="s">
        <v>87</v>
      </c>
      <c r="G45" s="41" t="s">
        <v>88</v>
      </c>
      <c r="H45" s="40" t="n">
        <v>7</v>
      </c>
      <c r="I45" s="41" t="s">
        <v>89</v>
      </c>
    </row>
    <row r="46" customFormat="false" ht="13.5" hidden="false" customHeight="true" outlineLevel="0" collapsed="false">
      <c r="A46" s="40" t="s">
        <v>86</v>
      </c>
      <c r="B46" s="40" t="s">
        <v>7</v>
      </c>
      <c r="C46" s="40" t="s">
        <v>16</v>
      </c>
      <c r="D46" s="27" t="n">
        <v>0.3333</v>
      </c>
      <c r="E46" s="41" t="s">
        <v>90</v>
      </c>
      <c r="F46" s="41" t="s">
        <v>91</v>
      </c>
      <c r="G46" s="41" t="s">
        <v>25</v>
      </c>
      <c r="H46" s="40" t="n">
        <v>6</v>
      </c>
      <c r="I46" s="41" t="s">
        <v>92</v>
      </c>
    </row>
    <row r="47" customFormat="false" ht="13.5" hidden="false" customHeight="true" outlineLevel="0" collapsed="false">
      <c r="A47" s="40" t="s">
        <v>86</v>
      </c>
      <c r="B47" s="40" t="s">
        <v>11</v>
      </c>
      <c r="C47" s="40" t="s">
        <v>16</v>
      </c>
      <c r="D47" s="27" t="n">
        <v>0</v>
      </c>
      <c r="E47" s="41" t="s">
        <v>83</v>
      </c>
      <c r="F47" s="41" t="s">
        <v>93</v>
      </c>
      <c r="G47" s="41" t="s">
        <v>94</v>
      </c>
      <c r="H47" s="40" t="n">
        <v>6</v>
      </c>
      <c r="I47" s="41" t="s">
        <v>89</v>
      </c>
    </row>
    <row r="48" customFormat="false" ht="12.75" hidden="false" customHeight="true" outlineLevel="0" collapsed="false">
      <c r="A48" s="38" t="s">
        <v>95</v>
      </c>
      <c r="D48" s="39" t="n">
        <v>0.158733333333333</v>
      </c>
    </row>
    <row r="50" customFormat="false" ht="13.5" hidden="false" customHeight="true" outlineLevel="0" collapsed="false">
      <c r="A50" s="42" t="s">
        <v>96</v>
      </c>
      <c r="B50" s="42" t="s">
        <v>10</v>
      </c>
      <c r="C50" s="42" t="s">
        <v>13</v>
      </c>
      <c r="D50" s="43" t="n">
        <v>0.1667</v>
      </c>
      <c r="E50" s="44" t="s">
        <v>23</v>
      </c>
      <c r="F50" s="44" t="s">
        <v>97</v>
      </c>
      <c r="G50" s="44" t="s">
        <v>98</v>
      </c>
      <c r="H50" s="42" t="n">
        <v>6</v>
      </c>
      <c r="I50" s="44" t="s">
        <v>89</v>
      </c>
    </row>
    <row r="51" customFormat="false" ht="13.5" hidden="false" customHeight="true" outlineLevel="0" collapsed="false">
      <c r="A51" s="42" t="s">
        <v>96</v>
      </c>
      <c r="B51" s="42" t="s">
        <v>10</v>
      </c>
      <c r="C51" s="42" t="s">
        <v>20</v>
      </c>
      <c r="D51" s="43" t="n">
        <v>0.3333</v>
      </c>
      <c r="E51" s="44" t="s">
        <v>99</v>
      </c>
      <c r="F51" s="44" t="s">
        <v>100</v>
      </c>
      <c r="G51" s="44" t="s">
        <v>101</v>
      </c>
      <c r="H51" s="42" t="n">
        <v>6</v>
      </c>
      <c r="I51" s="44" t="s">
        <v>92</v>
      </c>
    </row>
    <row r="52" customFormat="false" ht="13.5" hidden="false" customHeight="true" outlineLevel="0" collapsed="false">
      <c r="A52" s="42" t="s">
        <v>96</v>
      </c>
      <c r="B52" s="42" t="s">
        <v>13</v>
      </c>
      <c r="C52" s="42" t="s">
        <v>20</v>
      </c>
      <c r="D52" s="43" t="n">
        <v>0.4</v>
      </c>
      <c r="E52" s="44" t="s">
        <v>102</v>
      </c>
      <c r="F52" s="44" t="s">
        <v>25</v>
      </c>
      <c r="G52" s="44" t="s">
        <v>103</v>
      </c>
      <c r="H52" s="42" t="n">
        <v>5</v>
      </c>
      <c r="I52" s="44" t="s">
        <v>92</v>
      </c>
    </row>
    <row r="53" customFormat="false" ht="12.75" hidden="false" customHeight="true" outlineLevel="0" collapsed="false">
      <c r="A53" s="38" t="s">
        <v>104</v>
      </c>
      <c r="D53" s="39" t="n">
        <v>0.3</v>
      </c>
    </row>
    <row r="55" customFormat="false" ht="13.5" hidden="false" customHeight="true" outlineLevel="0" collapsed="false">
      <c r="A55" s="45" t="s">
        <v>105</v>
      </c>
      <c r="B55" s="45" t="s">
        <v>14</v>
      </c>
      <c r="C55" s="45" t="s">
        <v>19</v>
      </c>
      <c r="D55" s="46" t="n">
        <v>0</v>
      </c>
      <c r="E55" s="47" t="s">
        <v>83</v>
      </c>
      <c r="F55" s="47" t="s">
        <v>83</v>
      </c>
      <c r="G55" s="47" t="s">
        <v>39</v>
      </c>
      <c r="H55" s="45" t="n">
        <v>1</v>
      </c>
      <c r="I55" s="47" t="s">
        <v>89</v>
      </c>
    </row>
    <row r="57" customFormat="false" ht="13.5" hidden="false" customHeight="true" outlineLevel="0" collapsed="false">
      <c r="A57" s="48" t="s">
        <v>106</v>
      </c>
      <c r="B57" s="48" t="s">
        <v>8</v>
      </c>
      <c r="C57" s="48" t="s">
        <v>15</v>
      </c>
      <c r="D57" s="49" t="n">
        <v>0</v>
      </c>
      <c r="E57" s="50" t="s">
        <v>83</v>
      </c>
      <c r="F57" s="50" t="s">
        <v>107</v>
      </c>
      <c r="G57" s="50" t="s">
        <v>83</v>
      </c>
      <c r="H57" s="48" t="n">
        <v>4</v>
      </c>
      <c r="I57" s="50" t="s">
        <v>89</v>
      </c>
    </row>
    <row r="58" customFormat="false" ht="13.5" hidden="false" customHeight="true" outlineLevel="0" collapsed="false">
      <c r="A58" s="48" t="s">
        <v>106</v>
      </c>
      <c r="B58" s="48" t="s">
        <v>8</v>
      </c>
      <c r="C58" s="48" t="s">
        <v>17</v>
      </c>
      <c r="D58" s="49" t="n">
        <v>0.4</v>
      </c>
      <c r="E58" s="50" t="s">
        <v>108</v>
      </c>
      <c r="F58" s="50" t="s">
        <v>109</v>
      </c>
      <c r="G58" s="50" t="s">
        <v>27</v>
      </c>
      <c r="H58" s="48" t="n">
        <v>5</v>
      </c>
      <c r="I58" s="50" t="s">
        <v>92</v>
      </c>
    </row>
    <row r="59" customFormat="false" ht="13.5" hidden="false" customHeight="true" outlineLevel="0" collapsed="false">
      <c r="A59" s="48" t="s">
        <v>106</v>
      </c>
      <c r="B59" s="48" t="s">
        <v>15</v>
      </c>
      <c r="C59" s="48" t="s">
        <v>17</v>
      </c>
      <c r="D59" s="49" t="n">
        <v>0</v>
      </c>
      <c r="E59" s="50" t="s">
        <v>83</v>
      </c>
      <c r="F59" s="50" t="s">
        <v>83</v>
      </c>
      <c r="G59" s="50" t="s">
        <v>110</v>
      </c>
      <c r="H59" s="48" t="n">
        <v>3</v>
      </c>
      <c r="I59" s="50" t="s">
        <v>89</v>
      </c>
    </row>
    <row r="60" customFormat="false" ht="12.75" hidden="false" customHeight="true" outlineLevel="0" collapsed="false">
      <c r="A60" s="38" t="s">
        <v>111</v>
      </c>
      <c r="D60" s="39" t="n">
        <v>0.133333333333333</v>
      </c>
    </row>
    <row r="62" customFormat="false" ht="15" hidden="false" customHeight="false" outlineLevel="0" collapsed="false">
      <c r="A62" s="51" t="s">
        <v>112</v>
      </c>
      <c r="B62" s="51"/>
      <c r="C62" s="51"/>
      <c r="D62" s="51"/>
      <c r="E62" s="51"/>
      <c r="F62" s="51"/>
      <c r="G62" s="51"/>
      <c r="H62" s="51"/>
      <c r="I62" s="51"/>
    </row>
    <row r="63" customFormat="false" ht="13.5" hidden="false" customHeight="true" outlineLevel="0" collapsed="false">
      <c r="A63" s="52" t="s">
        <v>72</v>
      </c>
      <c r="B63" s="52" t="s">
        <v>73</v>
      </c>
      <c r="C63" s="52" t="s">
        <v>74</v>
      </c>
      <c r="D63" s="52" t="s">
        <v>75</v>
      </c>
      <c r="E63" s="52" t="s">
        <v>76</v>
      </c>
      <c r="F63" s="52" t="s">
        <v>77</v>
      </c>
      <c r="G63" s="52" t="s">
        <v>78</v>
      </c>
      <c r="H63" s="52" t="s">
        <v>79</v>
      </c>
      <c r="I63" s="52" t="s">
        <v>80</v>
      </c>
    </row>
    <row r="64" customFormat="false" ht="13.5" hidden="false" customHeight="true" outlineLevel="0" collapsed="false">
      <c r="A64" s="35" t="s">
        <v>81</v>
      </c>
      <c r="B64" s="35" t="s">
        <v>44</v>
      </c>
      <c r="C64" s="35" t="s">
        <v>45</v>
      </c>
      <c r="D64" s="36" t="n">
        <v>1</v>
      </c>
      <c r="E64" s="37" t="s">
        <v>113</v>
      </c>
      <c r="F64" s="37" t="s">
        <v>83</v>
      </c>
      <c r="G64" s="37" t="s">
        <v>83</v>
      </c>
      <c r="H64" s="35" t="n">
        <v>7</v>
      </c>
      <c r="I64" s="37" t="s">
        <v>84</v>
      </c>
    </row>
    <row r="66" customFormat="false" ht="13.5" hidden="false" customHeight="true" outlineLevel="0" collapsed="false">
      <c r="A66" s="40" t="s">
        <v>86</v>
      </c>
      <c r="B66" s="40" t="s">
        <v>7</v>
      </c>
      <c r="C66" s="40" t="s">
        <v>11</v>
      </c>
      <c r="D66" s="27" t="n">
        <v>0.1667</v>
      </c>
      <c r="E66" s="41" t="s">
        <v>23</v>
      </c>
      <c r="F66" s="41" t="s">
        <v>114</v>
      </c>
      <c r="G66" s="41" t="s">
        <v>115</v>
      </c>
      <c r="H66" s="40" t="n">
        <v>6</v>
      </c>
      <c r="I66" s="41" t="s">
        <v>89</v>
      </c>
    </row>
    <row r="67" customFormat="false" ht="13.5" hidden="false" customHeight="true" outlineLevel="0" collapsed="false">
      <c r="A67" s="40" t="s">
        <v>86</v>
      </c>
      <c r="B67" s="40" t="s">
        <v>7</v>
      </c>
      <c r="C67" s="40" t="s">
        <v>16</v>
      </c>
      <c r="D67" s="27" t="n">
        <v>0.5</v>
      </c>
      <c r="E67" s="41" t="s">
        <v>116</v>
      </c>
      <c r="F67" s="41" t="s">
        <v>117</v>
      </c>
      <c r="G67" s="41" t="s">
        <v>83</v>
      </c>
      <c r="H67" s="40" t="n">
        <v>4</v>
      </c>
      <c r="I67" s="41" t="s">
        <v>118</v>
      </c>
    </row>
    <row r="68" customFormat="false" ht="13.5" hidden="false" customHeight="true" outlineLevel="0" collapsed="false">
      <c r="A68" s="40" t="s">
        <v>86</v>
      </c>
      <c r="B68" s="40" t="s">
        <v>11</v>
      </c>
      <c r="C68" s="40" t="s">
        <v>16</v>
      </c>
      <c r="D68" s="27" t="n">
        <v>0.25</v>
      </c>
      <c r="E68" s="41" t="s">
        <v>23</v>
      </c>
      <c r="F68" s="41" t="s">
        <v>115</v>
      </c>
      <c r="G68" s="41" t="s">
        <v>39</v>
      </c>
      <c r="H68" s="40" t="n">
        <v>4</v>
      </c>
      <c r="I68" s="41" t="s">
        <v>92</v>
      </c>
    </row>
    <row r="69" customFormat="false" ht="12.75" hidden="false" customHeight="true" outlineLevel="0" collapsed="false">
      <c r="A69" s="38" t="s">
        <v>95</v>
      </c>
      <c r="D69" s="39" t="n">
        <v>0.305566666666667</v>
      </c>
    </row>
    <row r="71" customFormat="false" ht="13.5" hidden="false" customHeight="true" outlineLevel="0" collapsed="false">
      <c r="A71" s="42" t="s">
        <v>96</v>
      </c>
      <c r="B71" s="42" t="s">
        <v>10</v>
      </c>
      <c r="C71" s="42" t="s">
        <v>13</v>
      </c>
      <c r="D71" s="43" t="n">
        <v>0.2857</v>
      </c>
      <c r="E71" s="44" t="s">
        <v>119</v>
      </c>
      <c r="F71" s="44" t="s">
        <v>29</v>
      </c>
      <c r="G71" s="44" t="s">
        <v>120</v>
      </c>
      <c r="H71" s="42" t="n">
        <v>7</v>
      </c>
      <c r="I71" s="44" t="s">
        <v>92</v>
      </c>
    </row>
    <row r="72" customFormat="false" ht="13.5" hidden="false" customHeight="true" outlineLevel="0" collapsed="false">
      <c r="A72" s="42" t="s">
        <v>96</v>
      </c>
      <c r="B72" s="42" t="s">
        <v>10</v>
      </c>
      <c r="C72" s="42" t="s">
        <v>20</v>
      </c>
      <c r="D72" s="43" t="n">
        <v>0.6</v>
      </c>
      <c r="E72" s="44" t="s">
        <v>121</v>
      </c>
      <c r="F72" s="44" t="s">
        <v>83</v>
      </c>
      <c r="G72" s="44" t="s">
        <v>122</v>
      </c>
      <c r="H72" s="42" t="n">
        <v>5</v>
      </c>
      <c r="I72" s="44" t="s">
        <v>118</v>
      </c>
    </row>
    <row r="73" customFormat="false" ht="13.5" hidden="false" customHeight="true" outlineLevel="0" collapsed="false">
      <c r="A73" s="42" t="s">
        <v>96</v>
      </c>
      <c r="B73" s="42" t="s">
        <v>13</v>
      </c>
      <c r="C73" s="42" t="s">
        <v>20</v>
      </c>
      <c r="D73" s="43" t="n">
        <v>0.5714</v>
      </c>
      <c r="E73" s="44" t="s">
        <v>123</v>
      </c>
      <c r="F73" s="44" t="s">
        <v>124</v>
      </c>
      <c r="G73" s="44" t="s">
        <v>29</v>
      </c>
      <c r="H73" s="42" t="n">
        <v>7</v>
      </c>
      <c r="I73" s="44" t="s">
        <v>118</v>
      </c>
    </row>
    <row r="74" customFormat="false" ht="12.75" hidden="false" customHeight="true" outlineLevel="0" collapsed="false">
      <c r="A74" s="38" t="s">
        <v>104</v>
      </c>
      <c r="D74" s="39" t="n">
        <v>0.4857</v>
      </c>
    </row>
    <row r="76" customFormat="false" ht="13.5" hidden="false" customHeight="true" outlineLevel="0" collapsed="false">
      <c r="A76" s="45" t="s">
        <v>105</v>
      </c>
      <c r="B76" s="45" t="s">
        <v>14</v>
      </c>
      <c r="C76" s="45" t="s">
        <v>19</v>
      </c>
      <c r="D76" s="46" t="n">
        <v>0.4</v>
      </c>
      <c r="E76" s="47" t="s">
        <v>125</v>
      </c>
      <c r="F76" s="47" t="s">
        <v>126</v>
      </c>
      <c r="G76" s="47" t="s">
        <v>57</v>
      </c>
      <c r="H76" s="45" t="n">
        <v>5</v>
      </c>
      <c r="I76" s="47" t="s">
        <v>92</v>
      </c>
    </row>
    <row r="78" customFormat="false" ht="13.5" hidden="false" customHeight="true" outlineLevel="0" collapsed="false">
      <c r="A78" s="48" t="s">
        <v>106</v>
      </c>
      <c r="B78" s="48" t="s">
        <v>15</v>
      </c>
      <c r="C78" s="48" t="s">
        <v>17</v>
      </c>
      <c r="D78" s="49" t="n">
        <v>0</v>
      </c>
      <c r="E78" s="50" t="s">
        <v>83</v>
      </c>
      <c r="F78" s="50" t="s">
        <v>83</v>
      </c>
      <c r="G78" s="50" t="s">
        <v>127</v>
      </c>
      <c r="H78" s="48" t="n">
        <v>6</v>
      </c>
      <c r="I78" s="50" t="s">
        <v>89</v>
      </c>
    </row>
  </sheetData>
  <mergeCells count="5">
    <mergeCell ref="A1:M1"/>
    <mergeCell ref="A3:O3"/>
    <mergeCell ref="A21:M21"/>
    <mergeCell ref="A38:I38"/>
    <mergeCell ref="A62:I6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3" min="2" style="0" width="28"/>
    <col collapsed="false" customWidth="true" hidden="false" outlineLevel="0" max="4" min="4" style="0" width="40"/>
  </cols>
  <sheetData>
    <row r="1" customFormat="false" ht="21.75" hidden="false" customHeight="true" outlineLevel="0" collapsed="false">
      <c r="A1" s="22" t="s">
        <v>128</v>
      </c>
      <c r="B1" s="22"/>
      <c r="C1" s="22"/>
      <c r="D1" s="22"/>
    </row>
    <row r="3" customFormat="false" ht="13.5" hidden="false" customHeight="true" outlineLevel="0" collapsed="false">
      <c r="A3" s="19" t="s">
        <v>129</v>
      </c>
      <c r="B3" s="19" t="s">
        <v>130</v>
      </c>
      <c r="C3" s="19" t="s">
        <v>131</v>
      </c>
      <c r="D3" s="19" t="s">
        <v>80</v>
      </c>
    </row>
    <row r="4" customFormat="false" ht="27.75" hidden="false" customHeight="true" outlineLevel="0" collapsed="false">
      <c r="A4" s="53" t="s">
        <v>132</v>
      </c>
      <c r="B4" s="54" t="s">
        <v>133</v>
      </c>
      <c r="C4" s="54" t="s">
        <v>134</v>
      </c>
      <c r="D4" s="54" t="s">
        <v>135</v>
      </c>
    </row>
    <row r="5" customFormat="false" ht="27.75" hidden="false" customHeight="true" outlineLevel="0" collapsed="false">
      <c r="A5" s="55" t="s">
        <v>136</v>
      </c>
      <c r="B5" s="56" t="s">
        <v>137</v>
      </c>
      <c r="C5" s="56" t="s">
        <v>138</v>
      </c>
      <c r="D5" s="56" t="s">
        <v>139</v>
      </c>
    </row>
    <row r="6" customFormat="false" ht="27.75" hidden="false" customHeight="true" outlineLevel="0" collapsed="false">
      <c r="A6" s="53" t="s">
        <v>140</v>
      </c>
      <c r="B6" s="54" t="s">
        <v>141</v>
      </c>
      <c r="C6" s="54" t="s">
        <v>142</v>
      </c>
      <c r="D6" s="54" t="s">
        <v>143</v>
      </c>
    </row>
    <row r="7" customFormat="false" ht="27.75" hidden="false" customHeight="true" outlineLevel="0" collapsed="false">
      <c r="A7" s="55" t="s">
        <v>144</v>
      </c>
      <c r="B7" s="56" t="s">
        <v>145</v>
      </c>
      <c r="C7" s="56" t="s">
        <v>146</v>
      </c>
      <c r="D7" s="56" t="s">
        <v>147</v>
      </c>
    </row>
    <row r="8" customFormat="false" ht="27.75" hidden="false" customHeight="true" outlineLevel="0" collapsed="false">
      <c r="A8" s="53" t="s">
        <v>148</v>
      </c>
      <c r="B8" s="54" t="s">
        <v>149</v>
      </c>
      <c r="C8" s="54" t="s">
        <v>150</v>
      </c>
      <c r="D8" s="54" t="s">
        <v>151</v>
      </c>
    </row>
    <row r="9" customFormat="false" ht="27.75" hidden="false" customHeight="true" outlineLevel="0" collapsed="false">
      <c r="A9" s="55" t="s">
        <v>152</v>
      </c>
      <c r="B9" s="56" t="s">
        <v>153</v>
      </c>
      <c r="C9" s="56" t="s">
        <v>154</v>
      </c>
      <c r="D9" s="56" t="s">
        <v>155</v>
      </c>
    </row>
    <row r="10" customFormat="false" ht="27.75" hidden="false" customHeight="true" outlineLevel="0" collapsed="false">
      <c r="A10" s="53" t="s">
        <v>156</v>
      </c>
      <c r="B10" s="54" t="s">
        <v>157</v>
      </c>
      <c r="C10" s="54" t="s">
        <v>158</v>
      </c>
      <c r="D10" s="54" t="s">
        <v>159</v>
      </c>
    </row>
    <row r="11" customFormat="false" ht="27.75" hidden="false" customHeight="true" outlineLevel="0" collapsed="false">
      <c r="A11" s="55" t="s">
        <v>160</v>
      </c>
      <c r="B11" s="56" t="s">
        <v>161</v>
      </c>
      <c r="C11" s="56" t="s">
        <v>162</v>
      </c>
      <c r="D11" s="56" t="s">
        <v>163</v>
      </c>
    </row>
    <row r="12" customFormat="false" ht="27.75" hidden="false" customHeight="true" outlineLevel="0" collapsed="false">
      <c r="A12" s="53" t="s">
        <v>164</v>
      </c>
      <c r="B12" s="54" t="s">
        <v>165</v>
      </c>
      <c r="C12" s="54" t="s">
        <v>166</v>
      </c>
      <c r="D12" s="54" t="s">
        <v>167</v>
      </c>
    </row>
    <row r="13" customFormat="false" ht="27.75" hidden="false" customHeight="true" outlineLevel="0" collapsed="false">
      <c r="A13" s="55" t="s">
        <v>168</v>
      </c>
      <c r="B13" s="56" t="s">
        <v>169</v>
      </c>
      <c r="C13" s="56" t="s">
        <v>170</v>
      </c>
      <c r="D13" s="56" t="s">
        <v>171</v>
      </c>
    </row>
    <row r="16" customFormat="false" ht="15.75" hidden="false" customHeight="true" outlineLevel="0" collapsed="false">
      <c r="A16" s="51" t="s">
        <v>172</v>
      </c>
      <c r="B16" s="51"/>
      <c r="C16" s="51"/>
      <c r="D16" s="51"/>
    </row>
    <row r="17" customFormat="false" ht="13.5" hidden="false" customHeight="true" outlineLevel="0" collapsed="false">
      <c r="A17" s="19" t="s">
        <v>72</v>
      </c>
      <c r="B17" s="19" t="s">
        <v>173</v>
      </c>
      <c r="C17" s="19" t="s">
        <v>174</v>
      </c>
      <c r="D17" s="19" t="s">
        <v>80</v>
      </c>
    </row>
    <row r="18" customFormat="false" ht="31.5" hidden="false" customHeight="true" outlineLevel="0" collapsed="false">
      <c r="A18" s="57" t="s">
        <v>81</v>
      </c>
      <c r="B18" s="58" t="s">
        <v>175</v>
      </c>
      <c r="C18" s="58" t="s">
        <v>176</v>
      </c>
      <c r="D18" s="59" t="s">
        <v>177</v>
      </c>
    </row>
    <row r="19" customFormat="false" ht="31.5" hidden="false" customHeight="true" outlineLevel="0" collapsed="false">
      <c r="A19" s="60" t="s">
        <v>86</v>
      </c>
      <c r="B19" s="61" t="s">
        <v>178</v>
      </c>
      <c r="C19" s="61" t="s">
        <v>179</v>
      </c>
      <c r="D19" s="62" t="s">
        <v>180</v>
      </c>
    </row>
    <row r="20" customFormat="false" ht="31.5" hidden="false" customHeight="true" outlineLevel="0" collapsed="false">
      <c r="A20" s="63" t="s">
        <v>96</v>
      </c>
      <c r="B20" s="64" t="s">
        <v>181</v>
      </c>
      <c r="C20" s="64" t="s">
        <v>182</v>
      </c>
      <c r="D20" s="65" t="s">
        <v>183</v>
      </c>
    </row>
    <row r="21" customFormat="false" ht="31.5" hidden="false" customHeight="true" outlineLevel="0" collapsed="false">
      <c r="A21" s="66" t="s">
        <v>105</v>
      </c>
      <c r="B21" s="67" t="s">
        <v>184</v>
      </c>
      <c r="C21" s="67" t="s">
        <v>185</v>
      </c>
      <c r="D21" s="68" t="s">
        <v>186</v>
      </c>
    </row>
    <row r="22" customFormat="false" ht="31.5" hidden="false" customHeight="true" outlineLevel="0" collapsed="false">
      <c r="A22" s="69" t="s">
        <v>106</v>
      </c>
      <c r="B22" s="70" t="s">
        <v>187</v>
      </c>
      <c r="C22" s="70" t="s">
        <v>184</v>
      </c>
      <c r="D22" s="71" t="s">
        <v>188</v>
      </c>
    </row>
    <row r="25" customFormat="false" ht="15.75" hidden="false" customHeight="true" outlineLevel="0" collapsed="false">
      <c r="A25" s="51" t="s">
        <v>189</v>
      </c>
      <c r="B25" s="51"/>
      <c r="C25" s="51"/>
      <c r="D25" s="51"/>
    </row>
    <row r="26" customFormat="false" ht="13.5" hidden="false" customHeight="true" outlineLevel="0" collapsed="false">
      <c r="A26" s="19" t="s">
        <v>190</v>
      </c>
      <c r="B26" s="19" t="s">
        <v>173</v>
      </c>
      <c r="C26" s="19" t="s">
        <v>174</v>
      </c>
      <c r="D26" s="19" t="s">
        <v>80</v>
      </c>
    </row>
    <row r="27" customFormat="false" ht="21.75" hidden="false" customHeight="true" outlineLevel="0" collapsed="false">
      <c r="A27" s="57" t="s">
        <v>1</v>
      </c>
      <c r="B27" s="58" t="s">
        <v>191</v>
      </c>
      <c r="C27" s="58" t="s">
        <v>192</v>
      </c>
      <c r="D27" s="59" t="s">
        <v>193</v>
      </c>
    </row>
    <row r="28" customFormat="false" ht="21.75" hidden="false" customHeight="true" outlineLevel="0" collapsed="false">
      <c r="A28" s="60" t="s">
        <v>2</v>
      </c>
      <c r="B28" s="61" t="s">
        <v>194</v>
      </c>
      <c r="C28" s="61" t="s">
        <v>187</v>
      </c>
      <c r="D28" s="62" t="s">
        <v>195</v>
      </c>
    </row>
    <row r="29" customFormat="false" ht="21.75" hidden="false" customHeight="true" outlineLevel="0" collapsed="false">
      <c r="A29" s="63" t="s">
        <v>3</v>
      </c>
      <c r="B29" s="64" t="s">
        <v>196</v>
      </c>
      <c r="C29" s="64" t="s">
        <v>194</v>
      </c>
      <c r="D29" s="65" t="s">
        <v>197</v>
      </c>
    </row>
    <row r="32" customFormat="false" ht="15.75" hidden="false" customHeight="true" outlineLevel="0" collapsed="false">
      <c r="A32" s="51" t="s">
        <v>198</v>
      </c>
      <c r="B32" s="51"/>
      <c r="C32" s="51"/>
      <c r="D32" s="51"/>
    </row>
    <row r="33" customFormat="false" ht="169.5" hidden="false" customHeight="true" outlineLevel="0" collapsed="false">
      <c r="A33" s="72" t="s">
        <v>199</v>
      </c>
      <c r="B33" s="72"/>
      <c r="C33" s="72"/>
      <c r="D33" s="72"/>
    </row>
    <row r="34" customFormat="false" ht="15" hidden="false" customHeight="false" outlineLevel="0" collapsed="false">
      <c r="A34" s="72"/>
      <c r="B34" s="72"/>
      <c r="C34" s="72"/>
      <c r="D34" s="72"/>
    </row>
    <row r="35" customFormat="false" ht="15" hidden="false" customHeight="false" outlineLevel="0" collapsed="false">
      <c r="A35" s="72"/>
      <c r="B35" s="72"/>
      <c r="C35" s="72"/>
      <c r="D35" s="72"/>
    </row>
    <row r="36" customFormat="false" ht="15" hidden="false" customHeight="false" outlineLevel="0" collapsed="false">
      <c r="A36" s="72"/>
      <c r="B36" s="72"/>
      <c r="C36" s="72"/>
      <c r="D36" s="72"/>
    </row>
    <row r="37" customFormat="false" ht="15" hidden="false" customHeight="false" outlineLevel="0" collapsed="false">
      <c r="A37" s="72"/>
      <c r="B37" s="72"/>
      <c r="C37" s="72"/>
      <c r="D37" s="72"/>
    </row>
    <row r="38" customFormat="false" ht="15" hidden="false" customHeight="false" outlineLevel="0" collapsed="false">
      <c r="A38" s="72"/>
      <c r="B38" s="72"/>
      <c r="C38" s="72"/>
      <c r="D38" s="72"/>
    </row>
    <row r="39" customFormat="false" ht="15" hidden="false" customHeight="false" outlineLevel="0" collapsed="false">
      <c r="A39" s="72"/>
      <c r="B39" s="72"/>
      <c r="C39" s="72"/>
      <c r="D39" s="72"/>
    </row>
    <row r="40" customFormat="false" ht="15" hidden="false" customHeight="false" outlineLevel="0" collapsed="false">
      <c r="A40" s="72"/>
      <c r="B40" s="72"/>
      <c r="C40" s="72"/>
      <c r="D40" s="72"/>
    </row>
    <row r="41" customFormat="false" ht="15" hidden="false" customHeight="false" outlineLevel="0" collapsed="false">
      <c r="A41" s="72"/>
      <c r="B41" s="72"/>
      <c r="C41" s="72"/>
      <c r="D41" s="72"/>
    </row>
    <row r="42" customFormat="false" ht="15" hidden="false" customHeight="false" outlineLevel="0" collapsed="false">
      <c r="A42" s="72"/>
      <c r="B42" s="72"/>
      <c r="C42" s="72"/>
      <c r="D42" s="72"/>
    </row>
    <row r="43" customFormat="false" ht="15" hidden="false" customHeight="false" outlineLevel="0" collapsed="false">
      <c r="A43" s="72"/>
      <c r="B43" s="72"/>
      <c r="C43" s="72"/>
      <c r="D43" s="72"/>
    </row>
    <row r="44" customFormat="false" ht="15" hidden="false" customHeight="false" outlineLevel="0" collapsed="false">
      <c r="A44" s="72"/>
      <c r="B44" s="72"/>
      <c r="C44" s="72"/>
      <c r="D44" s="72"/>
    </row>
  </sheetData>
  <mergeCells count="5">
    <mergeCell ref="A1:D1"/>
    <mergeCell ref="A16:D16"/>
    <mergeCell ref="A25:D25"/>
    <mergeCell ref="A32:D32"/>
    <mergeCell ref="A33:D4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2026-03-28T22:29:12Z</dcterms:created>
  <dc:creator>openpyxl</dc:creator>
  <dc:description/>
  <dc:language>en-US</dc:language>
  <cp:lastModifiedBy/>
  <dcterms:modified xsi:type="dcterms:W3CDTF">2026-03-28T22:29:12Z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