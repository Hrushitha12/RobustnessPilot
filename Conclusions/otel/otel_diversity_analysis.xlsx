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nary Matrix" sheetId="1" state="visible" r:id="rId3"/>
    <sheet name="Jaccard Analysis" sheetId="2" state="visible" r:id="rId4"/>
    <sheet name="Excluded Runs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<sst xmlns="http://schemas.openxmlformats.org/spreadsheetml/2006/main" count="362" uniqueCount="164">
  <si>
    <t xml:space="preserve">OTel Astronomy Shop — LLM Robustness Test Diversity: Binary FM Matrix</t>
  </si>
  <si>
    <t xml:space="preserve">Model C (qwen3:14b)</t>
  </si>
  <si>
    <t xml:space="preserve">Model D (qwen2.5-coder:32b)</t>
  </si>
  <si>
    <t xml:space="preserve">Model E (llama3.1:70b)</t>
  </si>
  <si>
    <t xml:space="preserve">FM</t>
  </si>
  <si>
    <t xml:space="preserve">FM Number</t>
  </si>
  <si>
    <t xml:space="preserve">Endpoint / Description</t>
  </si>
  <si>
    <t xml:space="preserve">C-Structured</t>
  </si>
  <si>
    <t xml:space="preserve">C-FewShot</t>
  </si>
  <si>
    <t xml:space="preserve">C-CoT</t>
  </si>
  <si>
    <t xml:space="preserve">D-ZeroShot</t>
  </si>
  <si>
    <t xml:space="preserve">D-Structured</t>
  </si>
  <si>
    <t xml:space="preserve">D-FewShot</t>
  </si>
  <si>
    <t xml:space="preserve">D-Self</t>
  </si>
  <si>
    <t xml:space="preserve">D-CoT</t>
  </si>
  <si>
    <t xml:space="preserve">E-ZeroShot</t>
  </si>
  <si>
    <t xml:space="preserve">E-FewShot</t>
  </si>
  <si>
    <t xml:space="preserve">E-Self</t>
  </si>
  <si>
    <t xml:space="preserve">E-CoT</t>
  </si>
  <si>
    <t xml:space="preserve">Found in N</t>
  </si>
  <si>
    <t xml:space="preserve">% Coverage</t>
  </si>
  <si>
    <t xml:space="preserve">FM1</t>
  </si>
  <si>
    <t xml:space="preserve">GET /api/products/{id} — non-existent or invalid format ID → 500</t>
  </si>
  <si>
    <t xml:space="preserve">FM2</t>
  </si>
  <si>
    <t xml:space="preserve">GET /api/products/{id} — extremely long ID (500+ chars) → 500</t>
  </si>
  <si>
    <t xml:space="preserve">FM3</t>
  </si>
  <si>
    <t xml:space="preserve">POST /api/cart — item field is null in body → 500</t>
  </si>
  <si>
    <t xml:space="preserve">FM4</t>
  </si>
  <si>
    <t xml:space="preserve">POST /api/cart — item/fields missing entirely from body → 500</t>
  </si>
  <si>
    <t xml:space="preserve">FM5</t>
  </si>
  <si>
    <t xml:space="preserve">POST /api/checkout — empty userId → 500</t>
  </si>
  <si>
    <t xml:space="preserve">FM6</t>
  </si>
  <si>
    <t xml:space="preserve">POST /api/checkout — unknown/invalid currency code → 500</t>
  </si>
  <si>
    <t xml:space="preserve">FM7</t>
  </si>
  <si>
    <t xml:space="preserve">POST /api/checkout — empty or missing credit card number → 500</t>
  </si>
  <si>
    <t xml:space="preserve">FM8</t>
  </si>
  <si>
    <t xml:space="preserve">POST /api/checkout — expired credit card year → 500</t>
  </si>
  <si>
    <t xml:space="preserve">FM9</t>
  </si>
  <si>
    <t xml:space="preserve">POST /api/checkout — empty street address field → 500</t>
  </si>
  <si>
    <t xml:space="preserve">FM10</t>
  </si>
  <si>
    <t xml:space="preserve">POST /api/checkout — invalid email format → 500</t>
  </si>
  <si>
    <t xml:space="preserve">FM11</t>
  </si>
  <si>
    <t xml:space="preserve">POST /api/checkout — wrong credit card number format → 500</t>
  </si>
  <si>
    <t xml:space="preserve">FM12</t>
  </si>
  <si>
    <t xml:space="preserve">POST /api/checkout — empty userCurrency string → 500</t>
  </si>
  <si>
    <t xml:space="preserve">FM13</t>
  </si>
  <si>
    <t xml:space="preserve">POST /api/checkout — out-of-range card month (negative) → 500</t>
  </si>
  <si>
    <t xml:space="preserve">FM14</t>
  </si>
  <si>
    <t xml:space="preserve">POST /api/checkout — checkout with empty or invalid cart → 500</t>
  </si>
  <si>
    <t xml:space="preserve">Total FMs Found per Run</t>
  </si>
  <si>
    <t xml:space="preserve">NOTES:
• 3 runs excluded from matrix:  C-ZeroShot (COMPILE_FAIL) | C-Self (MALFORMED_OUTPUT) | E-Structured (CRASH ×2)
• Currency (POST /api/currency) and Shipping (POST /api/shipping) return HTTP 504 for ALL inputs in minimal Docker Compose.
  These are classified as SYSTEM_UNAVAILABLE, not failure modes. Requires full docker-compose.yml on Linux server to test.
• D-Self found 0 FMs: model called endpoints without assertNoServerError() — all tests trivially passed.
• Emergent behavior (Excluded class): 5 tests across 4 runs generated illegal URI chars (whitespace/XSS) without instruction.
  Runs: C-CoT, D-CoT, E-FewShot, E-CoT — consistent with TeaStore D-CoT XSS finding.</t>
  </si>
  <si>
    <t xml:space="preserve">OTel Astronomy Shop — Pairwise Jaccard Similarity Analysis</t>
  </si>
  <si>
    <t xml:space="preserve">Full Pairwise Jaccard Matrix</t>
  </si>
  <si>
    <t xml:space="preserve">Same Prompt — Different Models (Inter-model Diversity)</t>
  </si>
  <si>
    <t xml:space="preserve">Prompt Type</t>
  </si>
  <si>
    <t xml:space="preserve">Run A</t>
  </si>
  <si>
    <t xml:space="preserve">Run B</t>
  </si>
  <si>
    <t xml:space="preserve">Jaccard</t>
  </si>
  <si>
    <t xml:space="preserve">Shared FMs</t>
  </si>
  <si>
    <t xml:space="preserve">A only</t>
  </si>
  <si>
    <t xml:space="preserve">B only</t>
  </si>
  <si>
    <t xml:space="preserve">|A∪B|</t>
  </si>
  <si>
    <t xml:space="preserve">Interpretation</t>
  </si>
  <si>
    <t xml:space="preserve">Structured</t>
  </si>
  <si>
    <t xml:space="preserve">FM1, FM2, FM3, FM5, FM6, FM7, FM8</t>
  </si>
  <si>
    <t xml:space="preserve">∅</t>
  </si>
  <si>
    <t xml:space="preserve">Identical — collapsed diversity</t>
  </si>
  <si>
    <t xml:space="preserve">FewShot</t>
  </si>
  <si>
    <t xml:space="preserve">FM9, FM11, FM12</t>
  </si>
  <si>
    <t xml:space="preserve">FM10, FM13</t>
  </si>
  <si>
    <t xml:space="preserve">High diversity</t>
  </si>
  <si>
    <t xml:space="preserve">FM1, FM9</t>
  </si>
  <si>
    <t xml:space="preserve">FM11, FM12</t>
  </si>
  <si>
    <t xml:space="preserve">High similarity</t>
  </si>
  <si>
    <t xml:space="preserve">Moderate diversity</t>
  </si>
  <si>
    <t xml:space="preserve">FewShot Average</t>
  </si>
  <si>
    <t xml:space="preserve">CoT</t>
  </si>
  <si>
    <t xml:space="preserve">FM1, FM2</t>
  </si>
  <si>
    <t xml:space="preserve">FM3, FM6, FM10, FM11</t>
  </si>
  <si>
    <t xml:space="preserve">FM1, FM2, FM4</t>
  </si>
  <si>
    <t xml:space="preserve">FM3, FM10</t>
  </si>
  <si>
    <t xml:space="preserve">FM1, FM2, FM3, FM10</t>
  </si>
  <si>
    <t xml:space="preserve">FM6, FM11</t>
  </si>
  <si>
    <t xml:space="preserve">CoT Average</t>
  </si>
  <si>
    <t xml:space="preserve">ZeroShot</t>
  </si>
  <si>
    <t xml:space="preserve">FM1, FM14</t>
  </si>
  <si>
    <t xml:space="preserve">FM4, FM7</t>
  </si>
  <si>
    <t xml:space="preserve">Self</t>
  </si>
  <si>
    <t xml:space="preserve">FM1, FM3, FM4, FM5, FM6, FM7</t>
  </si>
  <si>
    <t xml:space="preserve">Same Model — Different Prompts (Intra-model Diversity)</t>
  </si>
  <si>
    <t xml:space="preserve">Model</t>
  </si>
  <si>
    <t xml:space="preserve">FM2, FM3, FM5, FM6, FM7, FM8</t>
  </si>
  <si>
    <t xml:space="preserve">FM3, FM5, FM6, FM7, FM8</t>
  </si>
  <si>
    <t xml:space="preserve">FM2, FM4</t>
  </si>
  <si>
    <t xml:space="preserve">Model C (qwen3:14b) Average</t>
  </si>
  <si>
    <t xml:space="preserve">FM1, FM7</t>
  </si>
  <si>
    <t xml:space="preserve">FM4, FM14</t>
  </si>
  <si>
    <t xml:space="preserve">FM2, FM3, FM5, FM6, FM8</t>
  </si>
  <si>
    <t xml:space="preserve">FM4, FM7, FM14</t>
  </si>
  <si>
    <t xml:space="preserve">FM1, FM4, FM7, FM14</t>
  </si>
  <si>
    <t xml:space="preserve">FM2, FM3, FM6, FM10, FM11</t>
  </si>
  <si>
    <t xml:space="preserve">FM1, FM2, FM3, FM6</t>
  </si>
  <si>
    <t xml:space="preserve">FM5, FM7, FM8</t>
  </si>
  <si>
    <t xml:space="preserve">FM10, FM11</t>
  </si>
  <si>
    <t xml:space="preserve">FM1, FM10, FM13</t>
  </si>
  <si>
    <t xml:space="preserve">FM1, FM10</t>
  </si>
  <si>
    <t xml:space="preserve">FM2, FM3, FM6, FM11</t>
  </si>
  <si>
    <t xml:space="preserve">FM1, FM2, FM3, FM6, FM10, FM11</t>
  </si>
  <si>
    <t xml:space="preserve">Model D (qwen2.5-coder:32b) Average</t>
  </si>
  <si>
    <t xml:space="preserve">FM11, FM14</t>
  </si>
  <si>
    <t xml:space="preserve">FM3, FM4, FM5, FM6, FM7</t>
  </si>
  <si>
    <t xml:space="preserve">FM2, FM3, FM4, FM10</t>
  </si>
  <si>
    <t xml:space="preserve">FM1, FM3, FM4</t>
  </si>
  <si>
    <t xml:space="preserve">FM5, FM6, FM7</t>
  </si>
  <si>
    <t xml:space="preserve">FM2, FM10</t>
  </si>
  <si>
    <t xml:space="preserve">Model E (llama3.1:70b) Average</t>
  </si>
  <si>
    <t xml:space="preserve">KEY FINDINGS:
1. Structured prompt collapses diversity: C-Structured ↔ D-Structured Jaccard = 1.00 (identical FM sets) — same finding as TeaStore.
2. D-Self Jaccard = 0.00 with all peers: model called endpoints without assertNoServerError(); all 30 tests trivially passed.
   D-Self ↔ E-Self = 0.00 — strongest diversity signal, but for the wrong reason.
3. CoT achieves highest cross-model diversity: C-CoT ↔ E-CoT = 0.60 (best non-Structured pair).
4. FewShot is most variable across models: C-FewShot ↔ D-FewShot = 0.17, C-FewShot ↔ E-FewShot = 0.50.
5. Within-model averages: Model C = 0.17, Model D = 0.13, Model E = 0.20.
   Model D has most intra-model diversity (driven by D-Self = 0 FMs).
6. FM1 (invalid product ID) found by 11/12 runs — universal across all models and prompts.
7. FM12 and FM13 found by only 1 run each — rarest failure modes (C-FewShot and D-FewShot respectively).
8. Emergent behavior: 4 runs (C-CoT, D-CoT, E-FewShot, E-CoT) autonomously generated illegal URI inputs
   (whitespace/XSS) without instruction — stronger pattern than TeaStore (3 models vs 1).</t>
  </si>
  <si>
    <t xml:space="preserve">OTel Astronomy Shop — Excluded Runs &amp; System-Level Findings</t>
  </si>
  <si>
    <t xml:space="preserve">EXCLUDED RUNS (not in binary matrix)</t>
  </si>
  <si>
    <t xml:space="preserve">Run</t>
  </si>
  <si>
    <t xml:space="preserve">Status</t>
  </si>
  <si>
    <t xml:space="preserve">Root Cause</t>
  </si>
  <si>
    <t xml:space="preserve">Notes</t>
  </si>
  <si>
    <t xml:space="preserve">C-ZeroShot</t>
  </si>
  <si>
    <t xml:space="preserve">COMPILE_FAIL</t>
  </si>
  <si>
    <t xml:space="preserve">response variable never assigned (18 errors)</t>
  </si>
  <si>
    <t xml:space="preserve">Model called get()/postJson() but did not assign return value. Genuine generation failure — not fixed.</t>
  </si>
  <si>
    <t xml:space="preserve">C-Self</t>
  </si>
  <si>
    <t xml:space="preserve">MALFORMED_OUTPUT</t>
  </si>
  <si>
    <t xml:space="preserve">Markdown with snippets instead of Java class</t>
  </si>
  <si>
    <t xml:space="preserve">Helper methods redefined, wrong HTTP methods for GET endpoints, wrong JSON body formats. Too many logic errors to fix safely.</t>
  </si>
  <si>
    <t xml:space="preserve">E-Structured</t>
  </si>
  <si>
    <t xml:space="preserve">CRASH × 2</t>
  </si>
  <si>
    <t xml:space="preserve">Sequential currency 504s destabilized system (canary FAIL)</t>
  </si>
  <si>
    <t xml:space="preserve">Run 1 crashed after test_R3 and test_R16. Docker restart + clean rerun also crashed. 21/21 tests returned canary=FAIL on rerun. Unusable.</t>
  </si>
  <si>
    <t xml:space="preserve">SYSTEM_UNAVAILABLE FINDING — Currency &amp; Shipping Services</t>
  </si>
  <si>
    <t xml:space="preserve">Endpoint</t>
  </si>
  <si>
    <t xml:space="preserve">HTTP Method</t>
  </si>
  <si>
    <t xml:space="preserve">Status in Minimal Compose</t>
  </si>
  <si>
    <t xml:space="preserve">Evidence</t>
  </si>
  <si>
    <t xml:space="preserve">/api/currency</t>
  </si>
  <si>
    <t xml:space="preserve">POST</t>
  </si>
  <si>
    <t xml:space="preserve">ALWAYS 504 (upstream timeout) — ALL inputs</t>
  </si>
  <si>
    <t xml:space="preserve">D-ZeroShot sent valid USD→EUR request → 504. Confirms service unavailability, not input-triggered failure.</t>
  </si>
  <si>
    <t xml:space="preserve">/api/shipping</t>
  </si>
  <si>
    <t xml:space="preserve">D-ZeroShot sent valid shipping request → 504. Same conclusion: service unavailable in minimal compose.</t>
  </si>
  <si>
    <t xml:space="preserve">Impact on results:  Currency and shipping represent 2 of 8 testable API endpoints. Because both always return 504 regardless of input quality, all tests targeting these endpoints are classified as SYSTEM_UNAVAILABLE and excluded from the FM binary matrix. This reduces the effective test surface to product, cart, and checkout endpoints only (14 FMs identified). Recommendation: rerun all 12 valid experiments on cci-marco (Linux) using the full docker-compose.yml, which includes all service dependencies and would make currency and shipping properly testable.</t>
  </si>
  <si>
    <t xml:space="preserve">EMERGENT BEHAVIOR — Excluded Class (IllegalArgumentException)</t>
  </si>
  <si>
    <t xml:space="preserve">Test Method</t>
  </si>
  <si>
    <t xml:space="preserve">Input Generated</t>
  </si>
  <si>
    <t xml:space="preserve">Classification</t>
  </si>
  <si>
    <t xml:space="preserve">test_R1_ProductWhitespacePath</t>
  </si>
  <si>
    <t xml:space="preserve">GET /api/products/   (whitespace only)</t>
  </si>
  <si>
    <t xml:space="preserve">Excluded — Java HttpClient rejected URI before SUT reached</t>
  </si>
  <si>
    <t xml:space="preserve">test_R1_GetProductWithPathSegmentWhitespace</t>
  </si>
  <si>
    <t xml:space="preserve">test_R1_RecommendationsInvalidSessionId</t>
  </si>
  <si>
    <t xml:space="preserve">sessionId=&lt;script&gt;alert('XSS')&lt;/script&gt;</t>
  </si>
  <si>
    <t xml:space="preserve">Excluded — illegal chars in query string</t>
  </si>
  <si>
    <t xml:space="preserve">test_R1_CartSessionIdWithSpecialChars</t>
  </si>
  <si>
    <t xml:space="preserve">sessionId=abc!@#$%^&amp;*()</t>
  </si>
  <si>
    <t xml:space="preserve">test_R1_productIdNonExistent</t>
  </si>
  <si>
    <t xml:space="preserve">GET /api/products/ NONEXISTENT (leading space)</t>
  </si>
  <si>
    <t xml:space="preserve">test_R4_pathSegmentWhitespaceOnly</t>
  </si>
  <si>
    <t xml:space="preserve">Pattern: 3 distinct models (C, D, E) on 3 distinct prompt types (CoT, FewShot) independently generated inputs with illegal URI characters without any instruction to do so. Whitespace-in-path appeared in C-CoT, D-CoT, E-CoT — all three CoT runs across all three models. This is a stronger emergent behavior signal than TeaStore (which only showed D-CoT XSS, one model/one run).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</si>
</sst>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AAAAAA"/>
      <name val="Arial"/>
      <family val="0"/>
      <charset val="1"/>
    </font>
    <font>
      <b val="true"/>
      <sz val="10"/>
      <name val="Arial"/>
      <family val="0"/>
      <charset val="1"/>
    </font>
    <font>
      <sz val="8.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B96B2"/>
        <bgColor rgb="FF808080"/>
      </patternFill>
    </fill>
    <fill>
      <patternFill patternType="solid">
        <fgColor rgb="FF3A7EBF"/>
        <bgColor rgb="FF2E75B6"/>
      </patternFill>
    </fill>
    <fill>
      <patternFill patternType="solid">
        <fgColor rgb="FF2D6A4F"/>
        <bgColor rgb="FF008080"/>
      </patternFill>
    </fill>
    <fill>
      <patternFill patternType="solid">
        <fgColor rgb="FF2E75B6"/>
        <bgColor rgb="FF3A7EBF"/>
      </patternFill>
    </fill>
    <fill>
      <patternFill patternType="solid">
        <fgColor rgb="FFD6E4F0"/>
        <bgColor rgb="FFDDEBF7"/>
      </patternFill>
    </fill>
    <fill>
      <patternFill patternType="solid">
        <fgColor rgb="FF70AD47"/>
        <bgColor rgb="FF7B96B2"/>
      </patternFill>
    </fill>
    <fill>
      <patternFill patternType="solid">
        <fgColor rgb="FFF8F8F8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FFFFF"/>
        <bgColor rgb="FFF8F8F8"/>
      </patternFill>
    </fill>
    <fill>
      <patternFill patternType="solid">
        <fgColor rgb="FFF2F2F2"/>
        <bgColor rgb="FFF8F8F8"/>
      </patternFill>
    </fill>
    <fill>
      <patternFill patternType="solid">
        <fgColor rgb="FFD9D9D9"/>
        <bgColor rgb="FFD6DCE4"/>
      </patternFill>
    </fill>
    <fill>
      <patternFill patternType="solid">
        <fgColor rgb="FFDDEBF7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rgb="FFF4B942"/>
        <bgColor rgb="FFFF9900"/>
      </patternFill>
    </fill>
    <fill>
      <patternFill patternType="solid">
        <fgColor rgb="FFD6DCE4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08080"/>
      <rgbColor rgb="FFAAAAAA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D9D9D9"/>
      <rgbColor rgb="FFF8F8F8"/>
      <rgbColor rgb="FFCC99FF"/>
      <rgbColor rgb="FFFCE4D6"/>
      <rgbColor rgb="FF2E75B6"/>
      <rgbColor rgb="FF33CCCC"/>
      <rgbColor rgb="FF99CC00"/>
      <rgbColor rgb="FFF4B942"/>
      <rgbColor rgb="FFFF9900"/>
      <rgbColor rgb="FFFF6600"/>
      <rgbColor rgb="FF3A7EBF"/>
      <rgbColor rgb="FF7B96B2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54"/>
    <col collapsed="false" customWidth="true" hidden="false" outlineLevel="0" max="16" min="4" style="1" width="11"/>
    <col collapsed="false" customWidth="true" hidden="false" outlineLevel="0" max="17" min="17" style="1" width="12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/>
      <c r="B2" s="3"/>
      <c r="C2" s="3"/>
      <c r="D2" s="4" t="s">
        <v>1</v>
      </c>
      <c r="E2" s="4"/>
      <c r="F2" s="4"/>
      <c r="G2" s="5" t="s">
        <v>2</v>
      </c>
      <c r="H2" s="5"/>
      <c r="I2" s="5"/>
      <c r="J2" s="5"/>
      <c r="K2" s="5"/>
      <c r="L2" s="6" t="s">
        <v>3</v>
      </c>
      <c r="M2" s="6"/>
      <c r="N2" s="6"/>
      <c r="O2" s="6"/>
      <c r="P2" s="3"/>
      <c r="Q2" s="3"/>
    </row>
    <row r="3" customFormat="false" ht="15.75" hidden="false" customHeight="true" outlineLevel="0" collapsed="false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</row>
    <row r="4" customFormat="false" ht="15.75" hidden="false" customHeight="true" outlineLevel="0" collapsed="false">
      <c r="A4" s="8" t="s">
        <v>21</v>
      </c>
      <c r="B4" s="9" t="n">
        <v>1</v>
      </c>
      <c r="C4" s="10" t="s">
        <v>22</v>
      </c>
      <c r="D4" s="11" t="n">
        <v>1</v>
      </c>
      <c r="E4" s="11" t="n">
        <v>1</v>
      </c>
      <c r="F4" s="11" t="n">
        <v>1</v>
      </c>
      <c r="G4" s="11" t="n">
        <v>1</v>
      </c>
      <c r="H4" s="11" t="n">
        <v>1</v>
      </c>
      <c r="I4" s="11" t="n">
        <v>1</v>
      </c>
      <c r="J4" s="12" t="n">
        <v>0</v>
      </c>
      <c r="K4" s="11" t="n">
        <v>1</v>
      </c>
      <c r="L4" s="11" t="n">
        <v>1</v>
      </c>
      <c r="M4" s="11" t="n">
        <v>1</v>
      </c>
      <c r="N4" s="11" t="n">
        <v>1</v>
      </c>
      <c r="O4" s="11" t="n">
        <v>1</v>
      </c>
      <c r="P4" s="13" t="n">
        <f aca="false">SUM(D3:O3)</f>
        <v>0</v>
      </c>
      <c r="Q4" s="14" t="s">
        <v>20</v>
      </c>
    </row>
    <row r="5" customFormat="false" ht="15.75" hidden="false" customHeight="true" outlineLevel="0" collapsed="false">
      <c r="A5" s="15" t="s">
        <v>23</v>
      </c>
      <c r="B5" s="16" t="n">
        <v>2</v>
      </c>
      <c r="C5" s="17" t="s">
        <v>24</v>
      </c>
      <c r="D5" s="11" t="n">
        <v>1</v>
      </c>
      <c r="E5" s="12" t="n">
        <v>0</v>
      </c>
      <c r="F5" s="11" t="n">
        <v>1</v>
      </c>
      <c r="G5" s="12" t="n">
        <v>0</v>
      </c>
      <c r="H5" s="11" t="n">
        <v>1</v>
      </c>
      <c r="I5" s="12" t="n">
        <v>0</v>
      </c>
      <c r="J5" s="12" t="n">
        <v>0</v>
      </c>
      <c r="K5" s="11" t="n">
        <v>1</v>
      </c>
      <c r="L5" s="12" t="n">
        <v>0</v>
      </c>
      <c r="M5" s="12" t="n">
        <v>0</v>
      </c>
      <c r="N5" s="12" t="n">
        <v>0</v>
      </c>
      <c r="O5" s="11" t="n">
        <v>1</v>
      </c>
      <c r="P5" s="13" t="n">
        <f aca="false">SUM(D4:O4)</f>
        <v>11</v>
      </c>
      <c r="Q5" s="18" t="n">
        <f aca="false">P4/12</f>
        <v>0</v>
      </c>
    </row>
    <row r="6" customFormat="false" ht="15.75" hidden="false" customHeight="true" outlineLevel="0" collapsed="false">
      <c r="A6" s="8" t="s">
        <v>25</v>
      </c>
      <c r="B6" s="9" t="n">
        <v>3</v>
      </c>
      <c r="C6" s="10" t="s">
        <v>26</v>
      </c>
      <c r="D6" s="11" t="n">
        <v>1</v>
      </c>
      <c r="E6" s="12" t="n">
        <v>0</v>
      </c>
      <c r="F6" s="12" t="n">
        <v>0</v>
      </c>
      <c r="G6" s="12" t="n">
        <v>0</v>
      </c>
      <c r="H6" s="11" t="n">
        <v>1</v>
      </c>
      <c r="I6" s="12" t="n">
        <v>0</v>
      </c>
      <c r="J6" s="12" t="n">
        <v>0</v>
      </c>
      <c r="K6" s="11" t="n">
        <v>1</v>
      </c>
      <c r="L6" s="12" t="n">
        <v>0</v>
      </c>
      <c r="M6" s="12" t="n">
        <v>0</v>
      </c>
      <c r="N6" s="11" t="n">
        <v>1</v>
      </c>
      <c r="O6" s="11" t="n">
        <v>1</v>
      </c>
      <c r="P6" s="13" t="n">
        <f aca="false">SUM(D5:O5)</f>
        <v>5</v>
      </c>
      <c r="Q6" s="18" t="n">
        <f aca="false">P5/12</f>
        <v>0.916666666666667</v>
      </c>
    </row>
    <row r="7" customFormat="false" ht="15.75" hidden="false" customHeight="true" outlineLevel="0" collapsed="false">
      <c r="A7" s="15" t="s">
        <v>27</v>
      </c>
      <c r="B7" s="16" t="n">
        <v>4</v>
      </c>
      <c r="C7" s="17" t="s">
        <v>28</v>
      </c>
      <c r="D7" s="12" t="n">
        <v>0</v>
      </c>
      <c r="E7" s="12" t="n">
        <v>0</v>
      </c>
      <c r="F7" s="11" t="n">
        <v>1</v>
      </c>
      <c r="G7" s="11" t="n">
        <v>1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1" t="n">
        <v>1</v>
      </c>
      <c r="O7" s="11" t="n">
        <v>1</v>
      </c>
      <c r="P7" s="13" t="n">
        <f aca="false">SUM(D6:O6)</f>
        <v>5</v>
      </c>
      <c r="Q7" s="18" t="n">
        <f aca="false">P6/12</f>
        <v>0.416666666666667</v>
      </c>
    </row>
    <row r="8" customFormat="false" ht="15.75" hidden="false" customHeight="true" outlineLevel="0" collapsed="false">
      <c r="A8" s="8" t="s">
        <v>29</v>
      </c>
      <c r="B8" s="9" t="n">
        <v>5</v>
      </c>
      <c r="C8" s="10" t="s">
        <v>30</v>
      </c>
      <c r="D8" s="11" t="n">
        <v>1</v>
      </c>
      <c r="E8" s="12" t="n">
        <v>0</v>
      </c>
      <c r="F8" s="12" t="n">
        <v>0</v>
      </c>
      <c r="G8" s="12" t="n">
        <v>0</v>
      </c>
      <c r="H8" s="11" t="n">
        <v>1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1" t="n">
        <v>1</v>
      </c>
      <c r="O8" s="12" t="n">
        <v>0</v>
      </c>
      <c r="P8" s="13" t="n">
        <f aca="false">SUM(D7:O7)</f>
        <v>4</v>
      </c>
      <c r="Q8" s="18" t="n">
        <f aca="false">P7/12</f>
        <v>0.416666666666667</v>
      </c>
    </row>
    <row r="9" customFormat="false" ht="15.75" hidden="false" customHeight="true" outlineLevel="0" collapsed="false">
      <c r="A9" s="15" t="s">
        <v>31</v>
      </c>
      <c r="B9" s="16" t="n">
        <v>6</v>
      </c>
      <c r="C9" s="17" t="s">
        <v>32</v>
      </c>
      <c r="D9" s="11" t="n">
        <v>1</v>
      </c>
      <c r="E9" s="12" t="n">
        <v>0</v>
      </c>
      <c r="F9" s="12" t="n">
        <v>0</v>
      </c>
      <c r="G9" s="12" t="n">
        <v>0</v>
      </c>
      <c r="H9" s="11" t="n">
        <v>1</v>
      </c>
      <c r="I9" s="12" t="n">
        <v>0</v>
      </c>
      <c r="J9" s="12" t="n">
        <v>0</v>
      </c>
      <c r="K9" s="11" t="n">
        <v>1</v>
      </c>
      <c r="L9" s="12" t="n">
        <v>0</v>
      </c>
      <c r="M9" s="12" t="n">
        <v>0</v>
      </c>
      <c r="N9" s="11" t="n">
        <v>1</v>
      </c>
      <c r="O9" s="12" t="n">
        <v>0</v>
      </c>
      <c r="P9" s="13" t="n">
        <f aca="false">SUM(D8:O8)</f>
        <v>3</v>
      </c>
      <c r="Q9" s="18" t="n">
        <f aca="false">P8/12</f>
        <v>0.333333333333333</v>
      </c>
    </row>
    <row r="10" customFormat="false" ht="15.75" hidden="false" customHeight="true" outlineLevel="0" collapsed="false">
      <c r="A10" s="8" t="s">
        <v>33</v>
      </c>
      <c r="B10" s="9" t="n">
        <v>7</v>
      </c>
      <c r="C10" s="10" t="s">
        <v>34</v>
      </c>
      <c r="D10" s="11" t="n">
        <v>1</v>
      </c>
      <c r="E10" s="12" t="n">
        <v>0</v>
      </c>
      <c r="F10" s="12" t="n">
        <v>0</v>
      </c>
      <c r="G10" s="11" t="n">
        <v>1</v>
      </c>
      <c r="H10" s="11" t="n">
        <v>1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1" t="n">
        <v>1</v>
      </c>
      <c r="O10" s="12" t="n">
        <v>0</v>
      </c>
      <c r="P10" s="13" t="n">
        <f aca="false">SUM(D9:O9)</f>
        <v>4</v>
      </c>
      <c r="Q10" s="18" t="n">
        <f aca="false">P9/12</f>
        <v>0.25</v>
      </c>
    </row>
    <row r="11" customFormat="false" ht="15.75" hidden="false" customHeight="true" outlineLevel="0" collapsed="false">
      <c r="A11" s="15" t="s">
        <v>35</v>
      </c>
      <c r="B11" s="16" t="n">
        <v>8</v>
      </c>
      <c r="C11" s="17" t="s">
        <v>36</v>
      </c>
      <c r="D11" s="11" t="n">
        <v>1</v>
      </c>
      <c r="E11" s="12" t="n">
        <v>0</v>
      </c>
      <c r="F11" s="12" t="n">
        <v>0</v>
      </c>
      <c r="G11" s="12" t="n">
        <v>0</v>
      </c>
      <c r="H11" s="11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  <c r="P11" s="13" t="n">
        <f aca="false">SUM(D10:O10)</f>
        <v>4</v>
      </c>
      <c r="Q11" s="18" t="n">
        <f aca="false">P10/12</f>
        <v>0.333333333333333</v>
      </c>
    </row>
    <row r="12" customFormat="false" ht="15.75" hidden="false" customHeight="true" outlineLevel="0" collapsed="false">
      <c r="A12" s="8" t="s">
        <v>37</v>
      </c>
      <c r="B12" s="9" t="n">
        <v>9</v>
      </c>
      <c r="C12" s="10" t="s">
        <v>38</v>
      </c>
      <c r="D12" s="12" t="n">
        <v>0</v>
      </c>
      <c r="E12" s="11" t="n">
        <v>1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</v>
      </c>
      <c r="N12" s="12" t="n">
        <v>0</v>
      </c>
      <c r="O12" s="12" t="n">
        <v>0</v>
      </c>
      <c r="P12" s="13" t="n">
        <f aca="false">SUM(D11:O11)</f>
        <v>2</v>
      </c>
      <c r="Q12" s="18" t="n">
        <f aca="false">P11/12</f>
        <v>0.333333333333333</v>
      </c>
    </row>
    <row r="13" customFormat="false" ht="15.75" hidden="false" customHeight="true" outlineLevel="0" collapsed="false">
      <c r="A13" s="15" t="s">
        <v>39</v>
      </c>
      <c r="B13" s="16" t="n">
        <v>10</v>
      </c>
      <c r="C13" s="17" t="s">
        <v>40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1" t="n">
        <v>1</v>
      </c>
      <c r="J13" s="12" t="n">
        <v>0</v>
      </c>
      <c r="K13" s="11" t="n">
        <v>1</v>
      </c>
      <c r="L13" s="12" t="n">
        <v>0</v>
      </c>
      <c r="M13" s="12" t="n">
        <v>0</v>
      </c>
      <c r="N13" s="12" t="n">
        <v>0</v>
      </c>
      <c r="O13" s="11" t="n">
        <v>1</v>
      </c>
      <c r="P13" s="13" t="n">
        <f aca="false">SUM(D12:O12)</f>
        <v>2</v>
      </c>
      <c r="Q13" s="18" t="n">
        <f aca="false">P12/12</f>
        <v>0.166666666666667</v>
      </c>
    </row>
    <row r="14" customFormat="false" ht="15.75" hidden="false" customHeight="true" outlineLevel="0" collapsed="false">
      <c r="A14" s="8" t="s">
        <v>41</v>
      </c>
      <c r="B14" s="9" t="n">
        <v>11</v>
      </c>
      <c r="C14" s="10" t="s">
        <v>42</v>
      </c>
      <c r="D14" s="12" t="n">
        <v>0</v>
      </c>
      <c r="E14" s="11" t="n">
        <v>1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1" t="n">
        <v>1</v>
      </c>
      <c r="L14" s="11" t="n">
        <v>1</v>
      </c>
      <c r="M14" s="12" t="n">
        <v>0</v>
      </c>
      <c r="N14" s="12" t="n">
        <v>0</v>
      </c>
      <c r="O14" s="12" t="n">
        <v>0</v>
      </c>
      <c r="P14" s="13" t="n">
        <f aca="false">SUM(D13:O13)</f>
        <v>3</v>
      </c>
      <c r="Q14" s="18" t="n">
        <f aca="false">P13/12</f>
        <v>0.166666666666667</v>
      </c>
    </row>
    <row r="15" customFormat="false" ht="15.75" hidden="false" customHeight="true" outlineLevel="0" collapsed="false">
      <c r="A15" s="15" t="s">
        <v>43</v>
      </c>
      <c r="B15" s="16" t="n">
        <v>12</v>
      </c>
      <c r="C15" s="17" t="s">
        <v>44</v>
      </c>
      <c r="D15" s="12" t="n">
        <v>0</v>
      </c>
      <c r="E15" s="11" t="n">
        <v>1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3" t="n">
        <f aca="false">SUM(D14:O14)</f>
        <v>3</v>
      </c>
      <c r="Q15" s="18" t="n">
        <f aca="false">P14/12</f>
        <v>0.25</v>
      </c>
    </row>
    <row r="16" customFormat="false" ht="15.75" hidden="false" customHeight="true" outlineLevel="0" collapsed="false">
      <c r="A16" s="8" t="s">
        <v>45</v>
      </c>
      <c r="B16" s="9" t="n">
        <v>13</v>
      </c>
      <c r="C16" s="10" t="s">
        <v>46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1" t="n">
        <v>1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3" t="n">
        <f aca="false">SUM(D15:O15)</f>
        <v>1</v>
      </c>
      <c r="Q16" s="18" t="n">
        <f aca="false">P15/12</f>
        <v>0.25</v>
      </c>
    </row>
    <row r="17" customFormat="false" ht="15.75" hidden="false" customHeight="true" outlineLevel="0" collapsed="false">
      <c r="A17" s="15" t="s">
        <v>47</v>
      </c>
      <c r="B17" s="16" t="n">
        <v>14</v>
      </c>
      <c r="C17" s="17" t="s">
        <v>48</v>
      </c>
      <c r="D17" s="12" t="n">
        <v>0</v>
      </c>
      <c r="E17" s="12" t="n">
        <v>0</v>
      </c>
      <c r="F17" s="12" t="n">
        <v>0</v>
      </c>
      <c r="G17" s="11" t="n">
        <v>1</v>
      </c>
      <c r="H17" s="12" t="n">
        <v>0</v>
      </c>
      <c r="I17" s="12" t="n">
        <v>0</v>
      </c>
      <c r="J17" s="12" t="n">
        <v>0</v>
      </c>
      <c r="K17" s="12" t="n">
        <v>0</v>
      </c>
      <c r="L17" s="11" t="n">
        <v>1</v>
      </c>
      <c r="M17" s="12" t="n">
        <v>0</v>
      </c>
      <c r="N17" s="12" t="n">
        <v>0</v>
      </c>
      <c r="O17" s="12" t="n">
        <v>0</v>
      </c>
      <c r="P17" s="13" t="n">
        <f aca="false">SUM(D16:O16)</f>
        <v>1</v>
      </c>
      <c r="Q17" s="18" t="n">
        <f aca="false">P16/12</f>
        <v>0.0833333333333333</v>
      </c>
    </row>
    <row r="18" customFormat="false" ht="15.75" hidden="false" customHeight="true" outlineLevel="0" collapsed="false">
      <c r="A18" s="3"/>
      <c r="B18" s="3"/>
      <c r="C18" s="19" t="s">
        <v>49</v>
      </c>
      <c r="D18" s="7" t="n">
        <f aca="false">SUM(D3:D16)</f>
        <v>7</v>
      </c>
      <c r="E18" s="7" t="n">
        <f aca="false">SUM(E3:E16)</f>
        <v>4</v>
      </c>
      <c r="F18" s="7" t="n">
        <f aca="false">SUM(F3:F16)</f>
        <v>3</v>
      </c>
      <c r="G18" s="7" t="n">
        <f aca="false">SUM(G3:G16)</f>
        <v>3</v>
      </c>
      <c r="H18" s="7" t="n">
        <f aca="false">SUM(H3:H16)</f>
        <v>7</v>
      </c>
      <c r="I18" s="7" t="n">
        <f aca="false">SUM(I3:I16)</f>
        <v>3</v>
      </c>
      <c r="J18" s="7" t="n">
        <f aca="false">SUM(J3:J16)</f>
        <v>0</v>
      </c>
      <c r="K18" s="7" t="n">
        <f aca="false">SUM(K3:K16)</f>
        <v>6</v>
      </c>
      <c r="L18" s="7" t="n">
        <f aca="false">SUM(L3:L16)</f>
        <v>2</v>
      </c>
      <c r="M18" s="7" t="n">
        <f aca="false">SUM(M3:M16)</f>
        <v>2</v>
      </c>
      <c r="N18" s="7" t="n">
        <f aca="false">SUM(N3:N16)</f>
        <v>6</v>
      </c>
      <c r="O18" s="7" t="n">
        <f aca="false">SUM(O3:O16)</f>
        <v>5</v>
      </c>
      <c r="P18" s="20"/>
      <c r="Q18" s="20"/>
    </row>
    <row r="21" customFormat="false" ht="84.75" hidden="false" customHeight="true" outlineLevel="0" collapsed="false">
      <c r="A21" s="21" t="s">
        <v>50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customFormat="false" ht="15" hidden="false" customHeight="true" outlineLevel="0" collapsed="false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customFormat="false" ht="15" hidden="false" customHeight="true" outlineLevel="0" collapsed="false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customFormat="false" ht="15" hidden="false" customHeight="true" outlineLevel="0" collapsed="false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customFormat="false" ht="15" hidden="false" customHeight="true" outlineLevel="0" collapsed="false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customFormat="false" ht="15" hidden="false" customHeight="true" outlineLevel="0" collapsed="false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</sheetData>
  <mergeCells count="5">
    <mergeCell ref="A1:Q1"/>
    <mergeCell ref="D2:F2"/>
    <mergeCell ref="G2:K2"/>
    <mergeCell ref="L2:O2"/>
    <mergeCell ref="A21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9"/>
    <col collapsed="false" customWidth="true" hidden="false" outlineLevel="0" max="7" min="5" style="1" width="22"/>
    <col collapsed="false" customWidth="true" hidden="false" outlineLevel="0" max="8" min="8" style="1" width="8"/>
    <col collapsed="false" customWidth="true" hidden="false" outlineLevel="0" max="9" min="9" style="1" width="30"/>
    <col collapsed="false" customWidth="true" hidden="false" outlineLevel="0" max="13" min="10" style="1" width="13"/>
  </cols>
  <sheetData>
    <row r="1" customFormat="false" ht="24" hidden="false" customHeight="true" outlineLevel="0" collapsed="false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22" t="s">
        <v>52</v>
      </c>
    </row>
    <row r="4" customFormat="false" ht="15" hidden="false" customHeight="true" outlineLevel="0" collapsed="false"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</row>
    <row r="5" customFormat="false" ht="15" hidden="false" customHeight="true" outlineLevel="0" collapsed="false">
      <c r="A5" s="7" t="s">
        <v>7</v>
      </c>
      <c r="B5" s="23" t="n">
        <v>1</v>
      </c>
      <c r="C5" s="24" t="n">
        <v>0.1</v>
      </c>
      <c r="D5" s="25" t="n">
        <v>0.25</v>
      </c>
      <c r="E5" s="24" t="n">
        <v>0.2222</v>
      </c>
      <c r="F5" s="26" t="n">
        <v>1</v>
      </c>
      <c r="G5" s="24" t="n">
        <v>0.1111</v>
      </c>
      <c r="H5" s="24" t="n">
        <v>0</v>
      </c>
      <c r="I5" s="25" t="n">
        <v>0.4444</v>
      </c>
      <c r="J5" s="24" t="n">
        <v>0.1111</v>
      </c>
      <c r="K5" s="24" t="n">
        <v>0.125</v>
      </c>
      <c r="L5" s="27" t="n">
        <v>0.625</v>
      </c>
      <c r="M5" s="25" t="n">
        <v>0.3333</v>
      </c>
    </row>
    <row r="6" customFormat="false" ht="15" hidden="false" customHeight="true" outlineLevel="0" collapsed="false">
      <c r="A6" s="7" t="s">
        <v>8</v>
      </c>
      <c r="B6" s="24" t="n">
        <v>0.1</v>
      </c>
      <c r="C6" s="23" t="n">
        <v>1</v>
      </c>
      <c r="D6" s="24" t="n">
        <v>0.1667</v>
      </c>
      <c r="E6" s="24" t="n">
        <v>0.1429</v>
      </c>
      <c r="F6" s="24" t="n">
        <v>0.1</v>
      </c>
      <c r="G6" s="24" t="n">
        <v>0.1667</v>
      </c>
      <c r="H6" s="24" t="n">
        <v>0</v>
      </c>
      <c r="I6" s="25" t="n">
        <v>0.25</v>
      </c>
      <c r="J6" s="25" t="n">
        <v>0.4</v>
      </c>
      <c r="K6" s="27" t="n">
        <v>0.5</v>
      </c>
      <c r="L6" s="24" t="n">
        <v>0.1111</v>
      </c>
      <c r="M6" s="24" t="n">
        <v>0.125</v>
      </c>
    </row>
    <row r="7" customFormat="false" ht="15" hidden="false" customHeight="true" outlineLevel="0" collapsed="false">
      <c r="A7" s="7" t="s">
        <v>9</v>
      </c>
      <c r="B7" s="25" t="n">
        <v>0.25</v>
      </c>
      <c r="C7" s="24" t="n">
        <v>0.1667</v>
      </c>
      <c r="D7" s="23" t="n">
        <v>1</v>
      </c>
      <c r="E7" s="25" t="n">
        <v>0.4</v>
      </c>
      <c r="F7" s="25" t="n">
        <v>0.25</v>
      </c>
      <c r="G7" s="24" t="n">
        <v>0.2</v>
      </c>
      <c r="H7" s="24" t="n">
        <v>0</v>
      </c>
      <c r="I7" s="25" t="n">
        <v>0.2857</v>
      </c>
      <c r="J7" s="24" t="n">
        <v>0.2</v>
      </c>
      <c r="K7" s="25" t="n">
        <v>0.25</v>
      </c>
      <c r="L7" s="25" t="n">
        <v>0.2857</v>
      </c>
      <c r="M7" s="27" t="n">
        <v>0.6</v>
      </c>
    </row>
    <row r="8" customFormat="false" ht="15" hidden="false" customHeight="true" outlineLevel="0" collapsed="false">
      <c r="A8" s="7" t="s">
        <v>10</v>
      </c>
      <c r="B8" s="24" t="n">
        <v>0.2222</v>
      </c>
      <c r="C8" s="24" t="n">
        <v>0.1429</v>
      </c>
      <c r="D8" s="25" t="n">
        <v>0.4</v>
      </c>
      <c r="E8" s="23" t="n">
        <v>1</v>
      </c>
      <c r="F8" s="24" t="n">
        <v>0.2222</v>
      </c>
      <c r="G8" s="24" t="n">
        <v>0.1667</v>
      </c>
      <c r="H8" s="24" t="n">
        <v>0</v>
      </c>
      <c r="I8" s="24" t="n">
        <v>0.1111</v>
      </c>
      <c r="J8" s="25" t="n">
        <v>0.4</v>
      </c>
      <c r="K8" s="24" t="n">
        <v>0.2</v>
      </c>
      <c r="L8" s="25" t="n">
        <v>0.4286</v>
      </c>
      <c r="M8" s="25" t="n">
        <v>0.2857</v>
      </c>
    </row>
    <row r="9" customFormat="false" ht="15" hidden="false" customHeight="true" outlineLevel="0" collapsed="false">
      <c r="A9" s="7" t="s">
        <v>11</v>
      </c>
      <c r="B9" s="26" t="n">
        <v>1</v>
      </c>
      <c r="C9" s="24" t="n">
        <v>0.1</v>
      </c>
      <c r="D9" s="25" t="n">
        <v>0.25</v>
      </c>
      <c r="E9" s="24" t="n">
        <v>0.2222</v>
      </c>
      <c r="F9" s="23" t="n">
        <v>1</v>
      </c>
      <c r="G9" s="24" t="n">
        <v>0.1111</v>
      </c>
      <c r="H9" s="24" t="n">
        <v>0</v>
      </c>
      <c r="I9" s="25" t="n">
        <v>0.4444</v>
      </c>
      <c r="J9" s="24" t="n">
        <v>0.1111</v>
      </c>
      <c r="K9" s="24" t="n">
        <v>0.125</v>
      </c>
      <c r="L9" s="27" t="n">
        <v>0.625</v>
      </c>
      <c r="M9" s="25" t="n">
        <v>0.3333</v>
      </c>
    </row>
    <row r="10" customFormat="false" ht="15" hidden="false" customHeight="true" outlineLevel="0" collapsed="false">
      <c r="A10" s="7" t="s">
        <v>12</v>
      </c>
      <c r="B10" s="24" t="n">
        <v>0.1111</v>
      </c>
      <c r="C10" s="24" t="n">
        <v>0.1667</v>
      </c>
      <c r="D10" s="24" t="n">
        <v>0.2</v>
      </c>
      <c r="E10" s="24" t="n">
        <v>0.1667</v>
      </c>
      <c r="F10" s="24" t="n">
        <v>0.1111</v>
      </c>
      <c r="G10" s="23" t="n">
        <v>1</v>
      </c>
      <c r="H10" s="24" t="n">
        <v>0</v>
      </c>
      <c r="I10" s="25" t="n">
        <v>0.2857</v>
      </c>
      <c r="J10" s="24" t="n">
        <v>0.2</v>
      </c>
      <c r="K10" s="25" t="n">
        <v>0.25</v>
      </c>
      <c r="L10" s="24" t="n">
        <v>0.125</v>
      </c>
      <c r="M10" s="25" t="n">
        <v>0.3333</v>
      </c>
    </row>
    <row r="11" customFormat="false" ht="15" hidden="false" customHeight="true" outlineLevel="0" collapsed="false">
      <c r="A11" s="7" t="s">
        <v>13</v>
      </c>
      <c r="B11" s="24" t="n">
        <v>0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3" t="n">
        <v>1</v>
      </c>
      <c r="I11" s="24" t="n">
        <v>0</v>
      </c>
      <c r="J11" s="24" t="n">
        <v>0</v>
      </c>
      <c r="K11" s="24" t="n">
        <v>0</v>
      </c>
      <c r="L11" s="24" t="n">
        <v>0</v>
      </c>
      <c r="M11" s="24" t="n">
        <v>0</v>
      </c>
    </row>
    <row r="12" customFormat="false" ht="15" hidden="false" customHeight="true" outlineLevel="0" collapsed="false">
      <c r="A12" s="7" t="s">
        <v>14</v>
      </c>
      <c r="B12" s="25" t="n">
        <v>0.4444</v>
      </c>
      <c r="C12" s="25" t="n">
        <v>0.25</v>
      </c>
      <c r="D12" s="25" t="n">
        <v>0.2857</v>
      </c>
      <c r="E12" s="24" t="n">
        <v>0.1111</v>
      </c>
      <c r="F12" s="25" t="n">
        <v>0.4444</v>
      </c>
      <c r="G12" s="25" t="n">
        <v>0.2857</v>
      </c>
      <c r="H12" s="24" t="n">
        <v>0</v>
      </c>
      <c r="I12" s="23" t="n">
        <v>1</v>
      </c>
      <c r="J12" s="25" t="n">
        <v>0.2857</v>
      </c>
      <c r="K12" s="24" t="n">
        <v>0.1429</v>
      </c>
      <c r="L12" s="25" t="n">
        <v>0.3333</v>
      </c>
      <c r="M12" s="27" t="n">
        <v>0.5714</v>
      </c>
    </row>
    <row r="13" customFormat="false" ht="15" hidden="false" customHeight="true" outlineLevel="0" collapsed="false">
      <c r="A13" s="7" t="s">
        <v>15</v>
      </c>
      <c r="B13" s="24" t="n">
        <v>0.1111</v>
      </c>
      <c r="C13" s="25" t="n">
        <v>0.4</v>
      </c>
      <c r="D13" s="24" t="n">
        <v>0.2</v>
      </c>
      <c r="E13" s="25" t="n">
        <v>0.4</v>
      </c>
      <c r="F13" s="24" t="n">
        <v>0.1111</v>
      </c>
      <c r="G13" s="24" t="n">
        <v>0.2</v>
      </c>
      <c r="H13" s="24" t="n">
        <v>0</v>
      </c>
      <c r="I13" s="25" t="n">
        <v>0.2857</v>
      </c>
      <c r="J13" s="23" t="n">
        <v>1</v>
      </c>
      <c r="K13" s="25" t="n">
        <v>0.25</v>
      </c>
      <c r="L13" s="24" t="n">
        <v>0.125</v>
      </c>
      <c r="M13" s="24" t="n">
        <v>0.1429</v>
      </c>
    </row>
    <row r="14" customFormat="false" ht="15" hidden="false" customHeight="true" outlineLevel="0" collapsed="false">
      <c r="A14" s="7" t="s">
        <v>16</v>
      </c>
      <c r="B14" s="24" t="n">
        <v>0.125</v>
      </c>
      <c r="C14" s="27" t="n">
        <v>0.5</v>
      </c>
      <c r="D14" s="25" t="n">
        <v>0.25</v>
      </c>
      <c r="E14" s="24" t="n">
        <v>0.2</v>
      </c>
      <c r="F14" s="24" t="n">
        <v>0.125</v>
      </c>
      <c r="G14" s="25" t="n">
        <v>0.25</v>
      </c>
      <c r="H14" s="24" t="n">
        <v>0</v>
      </c>
      <c r="I14" s="24" t="n">
        <v>0.1429</v>
      </c>
      <c r="J14" s="25" t="n">
        <v>0.25</v>
      </c>
      <c r="K14" s="23" t="n">
        <v>1</v>
      </c>
      <c r="L14" s="24" t="n">
        <v>0.1429</v>
      </c>
      <c r="M14" s="24" t="n">
        <v>0.1667</v>
      </c>
    </row>
    <row r="15" customFormat="false" ht="15" hidden="false" customHeight="true" outlineLevel="0" collapsed="false">
      <c r="A15" s="7" t="s">
        <v>17</v>
      </c>
      <c r="B15" s="27" t="n">
        <v>0.625</v>
      </c>
      <c r="C15" s="24" t="n">
        <v>0.1111</v>
      </c>
      <c r="D15" s="25" t="n">
        <v>0.2857</v>
      </c>
      <c r="E15" s="25" t="n">
        <v>0.4286</v>
      </c>
      <c r="F15" s="27" t="n">
        <v>0.625</v>
      </c>
      <c r="G15" s="24" t="n">
        <v>0.125</v>
      </c>
      <c r="H15" s="24" t="n">
        <v>0</v>
      </c>
      <c r="I15" s="25" t="n">
        <v>0.3333</v>
      </c>
      <c r="J15" s="24" t="n">
        <v>0.125</v>
      </c>
      <c r="K15" s="24" t="n">
        <v>0.1429</v>
      </c>
      <c r="L15" s="23" t="n">
        <v>1</v>
      </c>
      <c r="M15" s="25" t="n">
        <v>0.375</v>
      </c>
    </row>
    <row r="16" customFormat="false" ht="15" hidden="false" customHeight="true" outlineLevel="0" collapsed="false">
      <c r="A16" s="7" t="s">
        <v>18</v>
      </c>
      <c r="B16" s="25" t="n">
        <v>0.3333</v>
      </c>
      <c r="C16" s="24" t="n">
        <v>0.125</v>
      </c>
      <c r="D16" s="27" t="n">
        <v>0.6</v>
      </c>
      <c r="E16" s="25" t="n">
        <v>0.2857</v>
      </c>
      <c r="F16" s="25" t="n">
        <v>0.3333</v>
      </c>
      <c r="G16" s="25" t="n">
        <v>0.3333</v>
      </c>
      <c r="H16" s="24" t="n">
        <v>0</v>
      </c>
      <c r="I16" s="27" t="n">
        <v>0.5714</v>
      </c>
      <c r="J16" s="24" t="n">
        <v>0.1429</v>
      </c>
      <c r="K16" s="24" t="n">
        <v>0.1667</v>
      </c>
      <c r="L16" s="25" t="n">
        <v>0.375</v>
      </c>
      <c r="M16" s="23" t="n">
        <v>1</v>
      </c>
    </row>
    <row r="19" customFormat="false" ht="15" hidden="false" customHeight="true" outlineLevel="0" collapsed="false">
      <c r="A19" s="28" t="s">
        <v>53</v>
      </c>
      <c r="B19" s="28"/>
      <c r="C19" s="28"/>
      <c r="D19" s="28"/>
      <c r="E19" s="28"/>
      <c r="F19" s="28"/>
      <c r="G19" s="28"/>
      <c r="H19" s="28"/>
      <c r="I19" s="28"/>
      <c r="J19" s="28"/>
    </row>
    <row r="20" customFormat="false" ht="15" hidden="false" customHeight="true" outlineLevel="0" collapsed="false">
      <c r="A20" s="7" t="s">
        <v>54</v>
      </c>
      <c r="B20" s="7" t="s">
        <v>55</v>
      </c>
      <c r="C20" s="7" t="s">
        <v>56</v>
      </c>
      <c r="D20" s="7" t="s">
        <v>57</v>
      </c>
      <c r="E20" s="7" t="s">
        <v>58</v>
      </c>
      <c r="F20" s="7" t="s">
        <v>59</v>
      </c>
      <c r="G20" s="7" t="s">
        <v>60</v>
      </c>
      <c r="H20" s="7" t="s">
        <v>61</v>
      </c>
      <c r="I20" s="7" t="s">
        <v>62</v>
      </c>
    </row>
    <row r="21" customFormat="false" ht="21.75" hidden="false" customHeight="true" outlineLevel="0" collapsed="false">
      <c r="A21" s="29" t="s">
        <v>63</v>
      </c>
      <c r="B21" s="29" t="s">
        <v>7</v>
      </c>
      <c r="C21" s="29" t="s">
        <v>11</v>
      </c>
      <c r="D21" s="30" t="n">
        <v>1</v>
      </c>
      <c r="E21" s="31" t="s">
        <v>64</v>
      </c>
      <c r="F21" s="31" t="s">
        <v>65</v>
      </c>
      <c r="G21" s="31" t="s">
        <v>65</v>
      </c>
      <c r="H21" s="29" t="n">
        <v>7</v>
      </c>
      <c r="I21" s="31" t="s">
        <v>66</v>
      </c>
    </row>
    <row r="23" customFormat="false" ht="15" hidden="false" customHeight="true" outlineLevel="0" collapsed="false">
      <c r="A23" s="32" t="s">
        <v>67</v>
      </c>
      <c r="B23" s="32" t="s">
        <v>8</v>
      </c>
      <c r="C23" s="32" t="s">
        <v>12</v>
      </c>
      <c r="D23" s="33" t="n">
        <v>0.1667</v>
      </c>
      <c r="E23" s="34" t="s">
        <v>21</v>
      </c>
      <c r="F23" s="34" t="s">
        <v>68</v>
      </c>
      <c r="G23" s="34" t="s">
        <v>69</v>
      </c>
      <c r="H23" s="32" t="n">
        <v>6</v>
      </c>
      <c r="I23" s="34" t="s">
        <v>70</v>
      </c>
    </row>
    <row r="24" customFormat="false" ht="15" hidden="false" customHeight="true" outlineLevel="0" collapsed="false">
      <c r="A24" s="32" t="s">
        <v>67</v>
      </c>
      <c r="B24" s="32" t="s">
        <v>8</v>
      </c>
      <c r="C24" s="32" t="s">
        <v>16</v>
      </c>
      <c r="D24" s="33" t="n">
        <v>0.5</v>
      </c>
      <c r="E24" s="34" t="s">
        <v>71</v>
      </c>
      <c r="F24" s="34" t="s">
        <v>72</v>
      </c>
      <c r="G24" s="34" t="s">
        <v>65</v>
      </c>
      <c r="H24" s="32" t="n">
        <v>4</v>
      </c>
      <c r="I24" s="34" t="s">
        <v>73</v>
      </c>
    </row>
    <row r="25" customFormat="false" ht="15" hidden="false" customHeight="true" outlineLevel="0" collapsed="false">
      <c r="A25" s="32" t="s">
        <v>67</v>
      </c>
      <c r="B25" s="32" t="s">
        <v>12</v>
      </c>
      <c r="C25" s="32" t="s">
        <v>16</v>
      </c>
      <c r="D25" s="33" t="n">
        <v>0.25</v>
      </c>
      <c r="E25" s="34" t="s">
        <v>21</v>
      </c>
      <c r="F25" s="34" t="s">
        <v>69</v>
      </c>
      <c r="G25" s="34" t="s">
        <v>37</v>
      </c>
      <c r="H25" s="32" t="n">
        <v>4</v>
      </c>
      <c r="I25" s="34" t="s">
        <v>74</v>
      </c>
    </row>
    <row r="26" customFormat="false" ht="15" hidden="false" customHeight="true" outlineLevel="0" collapsed="false">
      <c r="A26" s="35" t="s">
        <v>75</v>
      </c>
      <c r="D26" s="36" t="n">
        <v>0.305566666666667</v>
      </c>
    </row>
    <row r="28" customFormat="false" ht="15" hidden="false" customHeight="true" outlineLevel="0" collapsed="false">
      <c r="A28" s="37" t="s">
        <v>76</v>
      </c>
      <c r="B28" s="37" t="s">
        <v>9</v>
      </c>
      <c r="C28" s="37" t="s">
        <v>14</v>
      </c>
      <c r="D28" s="38" t="n">
        <v>0.2857</v>
      </c>
      <c r="E28" s="39" t="s">
        <v>77</v>
      </c>
      <c r="F28" s="39" t="s">
        <v>27</v>
      </c>
      <c r="G28" s="39" t="s">
        <v>78</v>
      </c>
      <c r="H28" s="37" t="n">
        <v>7</v>
      </c>
      <c r="I28" s="39" t="s">
        <v>74</v>
      </c>
    </row>
    <row r="29" customFormat="false" ht="15" hidden="false" customHeight="true" outlineLevel="0" collapsed="false">
      <c r="A29" s="37" t="s">
        <v>76</v>
      </c>
      <c r="B29" s="37" t="s">
        <v>9</v>
      </c>
      <c r="C29" s="37" t="s">
        <v>18</v>
      </c>
      <c r="D29" s="38" t="n">
        <v>0.6</v>
      </c>
      <c r="E29" s="39" t="s">
        <v>79</v>
      </c>
      <c r="F29" s="39" t="s">
        <v>65</v>
      </c>
      <c r="G29" s="39" t="s">
        <v>80</v>
      </c>
      <c r="H29" s="37" t="n">
        <v>5</v>
      </c>
      <c r="I29" s="39" t="s">
        <v>73</v>
      </c>
    </row>
    <row r="30" customFormat="false" ht="15" hidden="false" customHeight="true" outlineLevel="0" collapsed="false">
      <c r="A30" s="37" t="s">
        <v>76</v>
      </c>
      <c r="B30" s="37" t="s">
        <v>14</v>
      </c>
      <c r="C30" s="37" t="s">
        <v>18</v>
      </c>
      <c r="D30" s="38" t="n">
        <v>0.5714</v>
      </c>
      <c r="E30" s="39" t="s">
        <v>81</v>
      </c>
      <c r="F30" s="39" t="s">
        <v>82</v>
      </c>
      <c r="G30" s="39" t="s">
        <v>27</v>
      </c>
      <c r="H30" s="37" t="n">
        <v>7</v>
      </c>
      <c r="I30" s="39" t="s">
        <v>73</v>
      </c>
    </row>
    <row r="31" customFormat="false" ht="15" hidden="false" customHeight="true" outlineLevel="0" collapsed="false">
      <c r="A31" s="35" t="s">
        <v>83</v>
      </c>
      <c r="D31" s="36" t="n">
        <v>0.4857</v>
      </c>
    </row>
    <row r="33" customFormat="false" ht="15" hidden="false" customHeight="true" outlineLevel="0" collapsed="false">
      <c r="A33" s="40" t="s">
        <v>84</v>
      </c>
      <c r="B33" s="40" t="s">
        <v>10</v>
      </c>
      <c r="C33" s="40" t="s">
        <v>15</v>
      </c>
      <c r="D33" s="41" t="n">
        <v>0.4</v>
      </c>
      <c r="E33" s="42" t="s">
        <v>85</v>
      </c>
      <c r="F33" s="42" t="s">
        <v>86</v>
      </c>
      <c r="G33" s="42" t="s">
        <v>41</v>
      </c>
      <c r="H33" s="40" t="n">
        <v>5</v>
      </c>
      <c r="I33" s="42" t="s">
        <v>74</v>
      </c>
    </row>
    <row r="35" customFormat="false" ht="21.75" hidden="false" customHeight="true" outlineLevel="0" collapsed="false">
      <c r="A35" s="43" t="s">
        <v>87</v>
      </c>
      <c r="B35" s="43" t="s">
        <v>13</v>
      </c>
      <c r="C35" s="43" t="s">
        <v>17</v>
      </c>
      <c r="D35" s="44" t="n">
        <v>0</v>
      </c>
      <c r="E35" s="45" t="s">
        <v>65</v>
      </c>
      <c r="F35" s="45" t="s">
        <v>65</v>
      </c>
      <c r="G35" s="45" t="s">
        <v>88</v>
      </c>
      <c r="H35" s="43" t="n">
        <v>6</v>
      </c>
      <c r="I35" s="45" t="s">
        <v>70</v>
      </c>
    </row>
    <row r="37" customFormat="false" ht="15" hidden="false" customHeight="true" outlineLevel="0" collapsed="false">
      <c r="A37" s="28" t="s">
        <v>89</v>
      </c>
      <c r="B37" s="28"/>
      <c r="C37" s="28"/>
      <c r="D37" s="28"/>
      <c r="E37" s="28"/>
      <c r="F37" s="28"/>
      <c r="G37" s="28"/>
      <c r="H37" s="28"/>
      <c r="I37" s="28"/>
      <c r="J37" s="28"/>
    </row>
    <row r="38" customFormat="false" ht="15" hidden="false" customHeight="true" outlineLevel="0" collapsed="false">
      <c r="A38" s="7" t="s">
        <v>90</v>
      </c>
      <c r="B38" s="7" t="s">
        <v>55</v>
      </c>
      <c r="C38" s="7" t="s">
        <v>56</v>
      </c>
      <c r="D38" s="7" t="s">
        <v>57</v>
      </c>
      <c r="E38" s="7" t="s">
        <v>58</v>
      </c>
      <c r="F38" s="7" t="s">
        <v>59</v>
      </c>
      <c r="G38" s="7" t="s">
        <v>60</v>
      </c>
      <c r="H38" s="7" t="s">
        <v>61</v>
      </c>
      <c r="I38" s="7" t="s">
        <v>62</v>
      </c>
    </row>
    <row r="39" customFormat="false" ht="21.75" hidden="false" customHeight="true" outlineLevel="0" collapsed="false">
      <c r="A39" s="46" t="s">
        <v>1</v>
      </c>
      <c r="B39" s="46" t="s">
        <v>7</v>
      </c>
      <c r="C39" s="46" t="s">
        <v>8</v>
      </c>
      <c r="D39" s="47" t="n">
        <v>0.1</v>
      </c>
      <c r="E39" s="48" t="s">
        <v>21</v>
      </c>
      <c r="F39" s="48" t="s">
        <v>91</v>
      </c>
      <c r="G39" s="48" t="s">
        <v>68</v>
      </c>
      <c r="H39" s="46" t="n">
        <v>10</v>
      </c>
      <c r="I39" s="48" t="s">
        <v>70</v>
      </c>
    </row>
    <row r="40" customFormat="false" ht="21.75" hidden="false" customHeight="true" outlineLevel="0" collapsed="false">
      <c r="A40" s="46" t="s">
        <v>1</v>
      </c>
      <c r="B40" s="46" t="s">
        <v>7</v>
      </c>
      <c r="C40" s="46" t="s">
        <v>9</v>
      </c>
      <c r="D40" s="47" t="n">
        <v>0.25</v>
      </c>
      <c r="E40" s="48" t="s">
        <v>77</v>
      </c>
      <c r="F40" s="48" t="s">
        <v>92</v>
      </c>
      <c r="G40" s="48" t="s">
        <v>27</v>
      </c>
      <c r="H40" s="46" t="n">
        <v>8</v>
      </c>
      <c r="I40" s="48" t="s">
        <v>74</v>
      </c>
    </row>
    <row r="41" customFormat="false" ht="21.75" hidden="false" customHeight="true" outlineLevel="0" collapsed="false">
      <c r="A41" s="46" t="s">
        <v>1</v>
      </c>
      <c r="B41" s="46" t="s">
        <v>8</v>
      </c>
      <c r="C41" s="46" t="s">
        <v>9</v>
      </c>
      <c r="D41" s="47" t="n">
        <v>0.1667</v>
      </c>
      <c r="E41" s="48" t="s">
        <v>21</v>
      </c>
      <c r="F41" s="48" t="s">
        <v>68</v>
      </c>
      <c r="G41" s="48" t="s">
        <v>93</v>
      </c>
      <c r="H41" s="46" t="n">
        <v>6</v>
      </c>
      <c r="I41" s="48" t="s">
        <v>70</v>
      </c>
    </row>
    <row r="42" customFormat="false" ht="15" hidden="false" customHeight="true" outlineLevel="0" collapsed="false">
      <c r="A42" s="35" t="s">
        <v>94</v>
      </c>
      <c r="D42" s="36" t="n">
        <v>0.172233333333333</v>
      </c>
    </row>
    <row r="44" customFormat="false" ht="32.25" hidden="false" customHeight="true" outlineLevel="0" collapsed="false">
      <c r="A44" s="49" t="s">
        <v>2</v>
      </c>
      <c r="B44" s="49" t="s">
        <v>10</v>
      </c>
      <c r="C44" s="49" t="s">
        <v>11</v>
      </c>
      <c r="D44" s="25" t="n">
        <v>0.2222</v>
      </c>
      <c r="E44" s="50" t="s">
        <v>95</v>
      </c>
      <c r="F44" s="50" t="s">
        <v>96</v>
      </c>
      <c r="G44" s="50" t="s">
        <v>97</v>
      </c>
      <c r="H44" s="49" t="n">
        <v>9</v>
      </c>
      <c r="I44" s="50" t="s">
        <v>70</v>
      </c>
    </row>
    <row r="45" customFormat="false" ht="32.25" hidden="false" customHeight="true" outlineLevel="0" collapsed="false">
      <c r="A45" s="49" t="s">
        <v>2</v>
      </c>
      <c r="B45" s="49" t="s">
        <v>10</v>
      </c>
      <c r="C45" s="49" t="s">
        <v>12</v>
      </c>
      <c r="D45" s="25" t="n">
        <v>0.1667</v>
      </c>
      <c r="E45" s="50" t="s">
        <v>21</v>
      </c>
      <c r="F45" s="50" t="s">
        <v>98</v>
      </c>
      <c r="G45" s="50" t="s">
        <v>69</v>
      </c>
      <c r="H45" s="49" t="n">
        <v>6</v>
      </c>
      <c r="I45" s="50" t="s">
        <v>70</v>
      </c>
    </row>
    <row r="46" customFormat="false" ht="32.25" hidden="false" customHeight="true" outlineLevel="0" collapsed="false">
      <c r="A46" s="49" t="s">
        <v>2</v>
      </c>
      <c r="B46" s="49" t="s">
        <v>10</v>
      </c>
      <c r="C46" s="49" t="s">
        <v>13</v>
      </c>
      <c r="D46" s="25" t="n">
        <v>0</v>
      </c>
      <c r="E46" s="50" t="s">
        <v>65</v>
      </c>
      <c r="F46" s="50" t="s">
        <v>99</v>
      </c>
      <c r="G46" s="50" t="s">
        <v>65</v>
      </c>
      <c r="H46" s="49" t="n">
        <v>4</v>
      </c>
      <c r="I46" s="50" t="s">
        <v>70</v>
      </c>
    </row>
    <row r="47" customFormat="false" ht="32.25" hidden="false" customHeight="true" outlineLevel="0" collapsed="false">
      <c r="A47" s="49" t="s">
        <v>2</v>
      </c>
      <c r="B47" s="49" t="s">
        <v>10</v>
      </c>
      <c r="C47" s="49" t="s">
        <v>14</v>
      </c>
      <c r="D47" s="25" t="n">
        <v>0.1111</v>
      </c>
      <c r="E47" s="50" t="s">
        <v>21</v>
      </c>
      <c r="F47" s="50" t="s">
        <v>98</v>
      </c>
      <c r="G47" s="50" t="s">
        <v>100</v>
      </c>
      <c r="H47" s="49" t="n">
        <v>9</v>
      </c>
      <c r="I47" s="50" t="s">
        <v>70</v>
      </c>
    </row>
    <row r="48" customFormat="false" ht="32.25" hidden="false" customHeight="true" outlineLevel="0" collapsed="false">
      <c r="A48" s="49" t="s">
        <v>2</v>
      </c>
      <c r="B48" s="49" t="s">
        <v>11</v>
      </c>
      <c r="C48" s="49" t="s">
        <v>12</v>
      </c>
      <c r="D48" s="25" t="n">
        <v>0.1111</v>
      </c>
      <c r="E48" s="50" t="s">
        <v>21</v>
      </c>
      <c r="F48" s="50" t="s">
        <v>91</v>
      </c>
      <c r="G48" s="50" t="s">
        <v>69</v>
      </c>
      <c r="H48" s="49" t="n">
        <v>9</v>
      </c>
      <c r="I48" s="50" t="s">
        <v>70</v>
      </c>
    </row>
    <row r="49" customFormat="false" ht="32.25" hidden="false" customHeight="true" outlineLevel="0" collapsed="false">
      <c r="A49" s="49" t="s">
        <v>2</v>
      </c>
      <c r="B49" s="49" t="s">
        <v>11</v>
      </c>
      <c r="C49" s="49" t="s">
        <v>13</v>
      </c>
      <c r="D49" s="25" t="n">
        <v>0</v>
      </c>
      <c r="E49" s="50" t="s">
        <v>65</v>
      </c>
      <c r="F49" s="50" t="s">
        <v>64</v>
      </c>
      <c r="G49" s="50" t="s">
        <v>65</v>
      </c>
      <c r="H49" s="49" t="n">
        <v>7</v>
      </c>
      <c r="I49" s="50" t="s">
        <v>70</v>
      </c>
    </row>
    <row r="50" customFormat="false" ht="32.25" hidden="false" customHeight="true" outlineLevel="0" collapsed="false">
      <c r="A50" s="49" t="s">
        <v>2</v>
      </c>
      <c r="B50" s="49" t="s">
        <v>11</v>
      </c>
      <c r="C50" s="49" t="s">
        <v>14</v>
      </c>
      <c r="D50" s="25" t="n">
        <v>0.4444</v>
      </c>
      <c r="E50" s="50" t="s">
        <v>101</v>
      </c>
      <c r="F50" s="50" t="s">
        <v>102</v>
      </c>
      <c r="G50" s="50" t="s">
        <v>103</v>
      </c>
      <c r="H50" s="49" t="n">
        <v>9</v>
      </c>
      <c r="I50" s="50" t="s">
        <v>74</v>
      </c>
    </row>
    <row r="51" customFormat="false" ht="32.25" hidden="false" customHeight="true" outlineLevel="0" collapsed="false">
      <c r="A51" s="49" t="s">
        <v>2</v>
      </c>
      <c r="B51" s="49" t="s">
        <v>12</v>
      </c>
      <c r="C51" s="49" t="s">
        <v>13</v>
      </c>
      <c r="D51" s="25" t="n">
        <v>0</v>
      </c>
      <c r="E51" s="50" t="s">
        <v>65</v>
      </c>
      <c r="F51" s="50" t="s">
        <v>104</v>
      </c>
      <c r="G51" s="50" t="s">
        <v>65</v>
      </c>
      <c r="H51" s="49" t="n">
        <v>3</v>
      </c>
      <c r="I51" s="50" t="s">
        <v>70</v>
      </c>
    </row>
    <row r="52" customFormat="false" ht="32.25" hidden="false" customHeight="true" outlineLevel="0" collapsed="false">
      <c r="A52" s="49" t="s">
        <v>2</v>
      </c>
      <c r="B52" s="49" t="s">
        <v>12</v>
      </c>
      <c r="C52" s="49" t="s">
        <v>14</v>
      </c>
      <c r="D52" s="25" t="n">
        <v>0.2857</v>
      </c>
      <c r="E52" s="50" t="s">
        <v>105</v>
      </c>
      <c r="F52" s="50" t="s">
        <v>45</v>
      </c>
      <c r="G52" s="50" t="s">
        <v>106</v>
      </c>
      <c r="H52" s="49" t="n">
        <v>7</v>
      </c>
      <c r="I52" s="50" t="s">
        <v>74</v>
      </c>
    </row>
    <row r="53" customFormat="false" ht="32.25" hidden="false" customHeight="true" outlineLevel="0" collapsed="false">
      <c r="A53" s="49" t="s">
        <v>2</v>
      </c>
      <c r="B53" s="49" t="s">
        <v>13</v>
      </c>
      <c r="C53" s="49" t="s">
        <v>14</v>
      </c>
      <c r="D53" s="25" t="n">
        <v>0</v>
      </c>
      <c r="E53" s="50" t="s">
        <v>65</v>
      </c>
      <c r="F53" s="50" t="s">
        <v>65</v>
      </c>
      <c r="G53" s="50" t="s">
        <v>107</v>
      </c>
      <c r="H53" s="49" t="n">
        <v>6</v>
      </c>
      <c r="I53" s="50" t="s">
        <v>70</v>
      </c>
    </row>
    <row r="54" customFormat="false" ht="15" hidden="false" customHeight="true" outlineLevel="0" collapsed="false">
      <c r="A54" s="35" t="s">
        <v>108</v>
      </c>
      <c r="D54" s="36" t="n">
        <v>0.13412</v>
      </c>
    </row>
    <row r="56" customFormat="false" ht="21.75" hidden="false" customHeight="true" outlineLevel="0" collapsed="false">
      <c r="A56" s="51" t="s">
        <v>3</v>
      </c>
      <c r="B56" s="51" t="s">
        <v>15</v>
      </c>
      <c r="C56" s="51" t="s">
        <v>16</v>
      </c>
      <c r="D56" s="52" t="n">
        <v>0.25</v>
      </c>
      <c r="E56" s="53" t="s">
        <v>21</v>
      </c>
      <c r="F56" s="53" t="s">
        <v>109</v>
      </c>
      <c r="G56" s="53" t="s">
        <v>37</v>
      </c>
      <c r="H56" s="51" t="n">
        <v>4</v>
      </c>
      <c r="I56" s="53" t="s">
        <v>74</v>
      </c>
    </row>
    <row r="57" customFormat="false" ht="21.75" hidden="false" customHeight="true" outlineLevel="0" collapsed="false">
      <c r="A57" s="51" t="s">
        <v>3</v>
      </c>
      <c r="B57" s="51" t="s">
        <v>15</v>
      </c>
      <c r="C57" s="51" t="s">
        <v>17</v>
      </c>
      <c r="D57" s="52" t="n">
        <v>0.125</v>
      </c>
      <c r="E57" s="53" t="s">
        <v>21</v>
      </c>
      <c r="F57" s="53" t="s">
        <v>109</v>
      </c>
      <c r="G57" s="53" t="s">
        <v>110</v>
      </c>
      <c r="H57" s="51" t="n">
        <v>8</v>
      </c>
      <c r="I57" s="53" t="s">
        <v>70</v>
      </c>
    </row>
    <row r="58" customFormat="false" ht="21.75" hidden="false" customHeight="true" outlineLevel="0" collapsed="false">
      <c r="A58" s="51" t="s">
        <v>3</v>
      </c>
      <c r="B58" s="51" t="s">
        <v>15</v>
      </c>
      <c r="C58" s="51" t="s">
        <v>18</v>
      </c>
      <c r="D58" s="52" t="n">
        <v>0.1429</v>
      </c>
      <c r="E58" s="53" t="s">
        <v>21</v>
      </c>
      <c r="F58" s="53" t="s">
        <v>109</v>
      </c>
      <c r="G58" s="53" t="s">
        <v>111</v>
      </c>
      <c r="H58" s="51" t="n">
        <v>7</v>
      </c>
      <c r="I58" s="53" t="s">
        <v>70</v>
      </c>
    </row>
    <row r="59" customFormat="false" ht="21.75" hidden="false" customHeight="true" outlineLevel="0" collapsed="false">
      <c r="A59" s="51" t="s">
        <v>3</v>
      </c>
      <c r="B59" s="51" t="s">
        <v>16</v>
      </c>
      <c r="C59" s="51" t="s">
        <v>17</v>
      </c>
      <c r="D59" s="52" t="n">
        <v>0.1429</v>
      </c>
      <c r="E59" s="53" t="s">
        <v>21</v>
      </c>
      <c r="F59" s="53" t="s">
        <v>37</v>
      </c>
      <c r="G59" s="53" t="s">
        <v>110</v>
      </c>
      <c r="H59" s="51" t="n">
        <v>7</v>
      </c>
      <c r="I59" s="53" t="s">
        <v>70</v>
      </c>
    </row>
    <row r="60" customFormat="false" ht="21.75" hidden="false" customHeight="true" outlineLevel="0" collapsed="false">
      <c r="A60" s="51" t="s">
        <v>3</v>
      </c>
      <c r="B60" s="51" t="s">
        <v>16</v>
      </c>
      <c r="C60" s="51" t="s">
        <v>18</v>
      </c>
      <c r="D60" s="52" t="n">
        <v>0.1667</v>
      </c>
      <c r="E60" s="53" t="s">
        <v>21</v>
      </c>
      <c r="F60" s="53" t="s">
        <v>37</v>
      </c>
      <c r="G60" s="53" t="s">
        <v>111</v>
      </c>
      <c r="H60" s="51" t="n">
        <v>6</v>
      </c>
      <c r="I60" s="53" t="s">
        <v>70</v>
      </c>
    </row>
    <row r="61" customFormat="false" ht="21.75" hidden="false" customHeight="true" outlineLevel="0" collapsed="false">
      <c r="A61" s="51" t="s">
        <v>3</v>
      </c>
      <c r="B61" s="51" t="s">
        <v>17</v>
      </c>
      <c r="C61" s="51" t="s">
        <v>18</v>
      </c>
      <c r="D61" s="52" t="n">
        <v>0.375</v>
      </c>
      <c r="E61" s="53" t="s">
        <v>112</v>
      </c>
      <c r="F61" s="53" t="s">
        <v>113</v>
      </c>
      <c r="G61" s="53" t="s">
        <v>114</v>
      </c>
      <c r="H61" s="51" t="n">
        <v>8</v>
      </c>
      <c r="I61" s="53" t="s">
        <v>74</v>
      </c>
    </row>
    <row r="62" customFormat="false" ht="15" hidden="false" customHeight="true" outlineLevel="0" collapsed="false">
      <c r="A62" s="35" t="s">
        <v>115</v>
      </c>
      <c r="D62" s="36" t="n">
        <v>0.200416666666667</v>
      </c>
    </row>
    <row r="65" customFormat="false" ht="129.75" hidden="false" customHeight="true" outlineLevel="0" collapsed="false">
      <c r="A65" s="21" t="s">
        <v>116</v>
      </c>
      <c r="B65" s="21"/>
      <c r="C65" s="21"/>
      <c r="D65" s="21"/>
      <c r="E65" s="21"/>
      <c r="F65" s="21"/>
      <c r="G65" s="21"/>
      <c r="H65" s="21"/>
      <c r="I65" s="21"/>
      <c r="J65" s="21"/>
    </row>
    <row r="66" customFormat="false" ht="15" hidden="false" customHeight="true" outlineLevel="0" collapsed="false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customFormat="false" ht="15" hidden="false" customHeight="true" outlineLevel="0" collapsed="false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customFormat="false" ht="15" hidden="false" customHeight="tru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customFormat="false" ht="15" hidden="false" customHeight="true" outlineLevel="0" collapsed="false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customFormat="false" ht="15" hidden="false" customHeight="true" outlineLevel="0" collapsed="false">
      <c r="A70" s="21"/>
      <c r="B70" s="21"/>
      <c r="C70" s="21"/>
      <c r="D70" s="21"/>
      <c r="E70" s="21"/>
      <c r="F70" s="21"/>
      <c r="G70" s="21"/>
      <c r="H70" s="21"/>
      <c r="I70" s="21"/>
      <c r="J70" s="21"/>
    </row>
    <row r="71" customFormat="false" ht="15" hidden="false" customHeight="true" outlineLevel="0" collapsed="false">
      <c r="A71" s="21"/>
      <c r="B71" s="21"/>
      <c r="C71" s="21"/>
      <c r="D71" s="21"/>
      <c r="E71" s="21"/>
      <c r="F71" s="21"/>
      <c r="G71" s="21"/>
      <c r="H71" s="21"/>
      <c r="I71" s="21"/>
      <c r="J71" s="21"/>
    </row>
    <row r="72" customFormat="false" ht="15" hidden="false" customHeight="true" outlineLevel="0" collapsed="false">
      <c r="A72" s="21"/>
      <c r="B72" s="21"/>
      <c r="C72" s="21"/>
      <c r="D72" s="21"/>
      <c r="E72" s="21"/>
      <c r="F72" s="21"/>
      <c r="G72" s="21"/>
      <c r="H72" s="21"/>
      <c r="I72" s="21"/>
      <c r="J72" s="21"/>
    </row>
    <row r="73" customFormat="false" ht="15" hidden="false" customHeight="true" outlineLevel="0" collapsed="false">
      <c r="A73" s="21"/>
      <c r="B73" s="21"/>
      <c r="C73" s="21"/>
      <c r="D73" s="21"/>
      <c r="E73" s="21"/>
      <c r="F73" s="21"/>
      <c r="G73" s="21"/>
      <c r="H73" s="21"/>
      <c r="I73" s="21"/>
      <c r="J73" s="21"/>
    </row>
  </sheetData>
  <mergeCells count="4">
    <mergeCell ref="A1:J1"/>
    <mergeCell ref="A19:J19"/>
    <mergeCell ref="A37:J37"/>
    <mergeCell ref="A65:J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35"/>
  </cols>
  <sheetData>
    <row r="1" customFormat="false" ht="24" hidden="false" customHeight="true" outlineLevel="0" collapsed="false">
      <c r="A1" s="2" t="s">
        <v>117</v>
      </c>
      <c r="B1" s="2"/>
      <c r="C1" s="2"/>
      <c r="D1" s="2"/>
    </row>
    <row r="3" customFormat="false" ht="15" hidden="false" customHeight="true" outlineLevel="0" collapsed="false">
      <c r="A3" s="28" t="s">
        <v>118</v>
      </c>
      <c r="B3" s="28"/>
      <c r="C3" s="28"/>
      <c r="D3" s="28"/>
    </row>
    <row r="4" customFormat="false" ht="15" hidden="false" customHeight="true" outlineLevel="0" collapsed="false">
      <c r="A4" s="7" t="s">
        <v>119</v>
      </c>
      <c r="B4" s="7" t="s">
        <v>120</v>
      </c>
      <c r="C4" s="7" t="s">
        <v>121</v>
      </c>
      <c r="D4" s="7" t="s">
        <v>122</v>
      </c>
    </row>
    <row r="5" customFormat="false" ht="39.75" hidden="false" customHeight="true" outlineLevel="0" collapsed="false">
      <c r="A5" s="54" t="s">
        <v>123</v>
      </c>
      <c r="B5" s="54" t="s">
        <v>124</v>
      </c>
      <c r="C5" s="55" t="s">
        <v>125</v>
      </c>
      <c r="D5" s="55" t="s">
        <v>126</v>
      </c>
    </row>
    <row r="6" customFormat="false" ht="39.75" hidden="false" customHeight="true" outlineLevel="0" collapsed="false">
      <c r="A6" s="54" t="s">
        <v>127</v>
      </c>
      <c r="B6" s="54" t="s">
        <v>128</v>
      </c>
      <c r="C6" s="55" t="s">
        <v>129</v>
      </c>
      <c r="D6" s="55" t="s">
        <v>130</v>
      </c>
    </row>
    <row r="7" customFormat="false" ht="39.75" hidden="false" customHeight="true" outlineLevel="0" collapsed="false">
      <c r="A7" s="54" t="s">
        <v>131</v>
      </c>
      <c r="B7" s="54" t="s">
        <v>132</v>
      </c>
      <c r="C7" s="55" t="s">
        <v>133</v>
      </c>
      <c r="D7" s="55" t="s">
        <v>134</v>
      </c>
    </row>
    <row r="10" customFormat="false" ht="15" hidden="false" customHeight="true" outlineLevel="0" collapsed="false">
      <c r="A10" s="28" t="s">
        <v>135</v>
      </c>
      <c r="B10" s="28"/>
      <c r="C10" s="28"/>
      <c r="D10" s="28"/>
    </row>
    <row r="11" customFormat="false" ht="15" hidden="false" customHeight="true" outlineLevel="0" collapsed="false">
      <c r="A11" s="7" t="s">
        <v>136</v>
      </c>
      <c r="B11" s="7" t="s">
        <v>137</v>
      </c>
      <c r="C11" s="7" t="s">
        <v>138</v>
      </c>
      <c r="D11" s="7" t="s">
        <v>139</v>
      </c>
    </row>
    <row r="12" customFormat="false" ht="34.5" hidden="false" customHeight="true" outlineLevel="0" collapsed="false">
      <c r="A12" s="56" t="s">
        <v>140</v>
      </c>
      <c r="B12" s="56" t="s">
        <v>141</v>
      </c>
      <c r="C12" s="56" t="s">
        <v>142</v>
      </c>
      <c r="D12" s="56" t="s">
        <v>143</v>
      </c>
    </row>
    <row r="13" customFormat="false" ht="34.5" hidden="false" customHeight="true" outlineLevel="0" collapsed="false">
      <c r="A13" s="56" t="s">
        <v>144</v>
      </c>
      <c r="B13" s="56" t="s">
        <v>141</v>
      </c>
      <c r="C13" s="56" t="s">
        <v>142</v>
      </c>
      <c r="D13" s="56" t="s">
        <v>145</v>
      </c>
    </row>
    <row r="14" customFormat="false" ht="69.75" hidden="false" customHeight="true" outlineLevel="0" collapsed="false">
      <c r="A14" s="57" t="s">
        <v>146</v>
      </c>
      <c r="B14" s="57"/>
      <c r="C14" s="57"/>
      <c r="D14" s="57"/>
    </row>
    <row r="15" customFormat="false" ht="15" hidden="false" customHeight="true" outlineLevel="0" collapsed="false">
      <c r="A15" s="57"/>
      <c r="B15" s="57"/>
      <c r="C15" s="57"/>
      <c r="D15" s="57"/>
    </row>
    <row r="16" customFormat="false" ht="15" hidden="false" customHeight="true" outlineLevel="0" collapsed="false">
      <c r="A16" s="57"/>
      <c r="B16" s="57"/>
      <c r="C16" s="57"/>
      <c r="D16" s="57"/>
    </row>
    <row r="19" customFormat="false" ht="15" hidden="false" customHeight="true" outlineLevel="0" collapsed="false">
      <c r="A19" s="28" t="s">
        <v>147</v>
      </c>
      <c r="B19" s="28"/>
      <c r="C19" s="28"/>
      <c r="D19" s="28"/>
    </row>
    <row r="20" customFormat="false" ht="15" hidden="false" customHeight="true" outlineLevel="0" collapsed="false">
      <c r="A20" s="7" t="s">
        <v>119</v>
      </c>
      <c r="B20" s="7" t="s">
        <v>148</v>
      </c>
      <c r="C20" s="7" t="s">
        <v>149</v>
      </c>
      <c r="D20" s="7" t="s">
        <v>150</v>
      </c>
    </row>
    <row r="21" customFormat="false" ht="19.5" hidden="false" customHeight="true" outlineLevel="0" collapsed="false">
      <c r="A21" s="58" t="s">
        <v>9</v>
      </c>
      <c r="B21" s="58" t="s">
        <v>151</v>
      </c>
      <c r="C21" s="58" t="s">
        <v>152</v>
      </c>
      <c r="D21" s="58" t="s">
        <v>153</v>
      </c>
    </row>
    <row r="22" customFormat="false" ht="19.5" hidden="false" customHeight="true" outlineLevel="0" collapsed="false">
      <c r="A22" s="58" t="s">
        <v>14</v>
      </c>
      <c r="B22" s="58" t="s">
        <v>154</v>
      </c>
      <c r="C22" s="58" t="s">
        <v>152</v>
      </c>
      <c r="D22" s="58" t="s">
        <v>153</v>
      </c>
    </row>
    <row r="23" customFormat="false" ht="19.5" hidden="false" customHeight="true" outlineLevel="0" collapsed="false">
      <c r="A23" s="58" t="s">
        <v>16</v>
      </c>
      <c r="B23" s="58" t="s">
        <v>155</v>
      </c>
      <c r="C23" s="58" t="s">
        <v>156</v>
      </c>
      <c r="D23" s="58" t="s">
        <v>157</v>
      </c>
    </row>
    <row r="24" customFormat="false" ht="19.5" hidden="false" customHeight="true" outlineLevel="0" collapsed="false">
      <c r="A24" s="58" t="s">
        <v>16</v>
      </c>
      <c r="B24" s="58" t="s">
        <v>158</v>
      </c>
      <c r="C24" s="58" t="s">
        <v>159</v>
      </c>
      <c r="D24" s="58" t="s">
        <v>157</v>
      </c>
    </row>
    <row r="25" customFormat="false" ht="19.5" hidden="false" customHeight="true" outlineLevel="0" collapsed="false">
      <c r="A25" s="58" t="s">
        <v>18</v>
      </c>
      <c r="B25" s="58" t="s">
        <v>160</v>
      </c>
      <c r="C25" s="58" t="s">
        <v>161</v>
      </c>
      <c r="D25" s="58" t="s">
        <v>153</v>
      </c>
    </row>
    <row r="26" customFormat="false" ht="19.5" hidden="false" customHeight="true" outlineLevel="0" collapsed="false">
      <c r="A26" s="58" t="s">
        <v>18</v>
      </c>
      <c r="B26" s="58" t="s">
        <v>162</v>
      </c>
      <c r="C26" s="58" t="s">
        <v>152</v>
      </c>
      <c r="D26" s="58" t="s">
        <v>153</v>
      </c>
    </row>
    <row r="28" customFormat="false" ht="54.75" hidden="false" customHeight="true" outlineLevel="0" collapsed="false">
      <c r="A28" s="57" t="s">
        <v>163</v>
      </c>
      <c r="B28" s="57"/>
      <c r="C28" s="57"/>
      <c r="D28" s="57"/>
    </row>
    <row r="29" customFormat="false" ht="15" hidden="false" customHeight="true" outlineLevel="0" collapsed="false">
      <c r="A29" s="57"/>
      <c r="B29" s="57"/>
      <c r="C29" s="57"/>
      <c r="D29" s="57"/>
    </row>
    <row r="30" customFormat="false" ht="15" hidden="false" customHeight="true" outlineLevel="0" collapsed="false">
      <c r="A30" s="57"/>
      <c r="B30" s="57"/>
      <c r="C30" s="57"/>
      <c r="D30" s="57"/>
    </row>
  </sheetData>
  <mergeCells count="6">
    <mergeCell ref="A1:D1"/>
    <mergeCell ref="A3:D3"/>
    <mergeCell ref="A10:D10"/>
    <mergeCell ref="A14:D16"/>
    <mergeCell ref="A19:D19"/>
    <mergeCell ref="A28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2026-03-28T21:55:49Z</dcterms:created>
  <dc:creator>openpyxl</dc:creator>
  <dc:description/>
  <dc:language>en-US</dc:language>
  <cp:lastModifiedBy/>
  <dcterms:modified xsi:type="dcterms:W3CDTF">2026-03-28T21:56:12Z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